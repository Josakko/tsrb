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\ss tsrb\uikt\1n\"/>
    </mc:Choice>
  </mc:AlternateContent>
  <xr:revisionPtr revIDLastSave="0" documentId="13_ncr:1_{B88F7815-62E7-4018-A18F-2C5E0676F6D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matematicke" sheetId="1" r:id="rId1"/>
    <sheet name="trigonometrijske" sheetId="2" r:id="rId2"/>
    <sheet name="vježba1" sheetId="13" r:id="rId3"/>
    <sheet name="vježba2" sheetId="14" r:id="rId4"/>
    <sheet name="statisticke" sheetId="3" r:id="rId5"/>
    <sheet name="zbroj" sheetId="7" r:id="rId6"/>
    <sheet name="vježba3" sheetId="12" r:id="rId7"/>
    <sheet name="datum i vrijeme" sheetId="5" r:id="rId8"/>
    <sheet name="tekst" sheetId="9" r:id="rId9"/>
    <sheet name="ASCII" sheetId="10" r:id="rId10"/>
    <sheet name="logicke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D26" i="12"/>
  <c r="E26" i="12" s="1"/>
  <c r="D7" i="12"/>
  <c r="E7" i="12" s="1"/>
  <c r="D80" i="12"/>
  <c r="E80" i="12" s="1"/>
  <c r="D23" i="12"/>
  <c r="E23" i="12" s="1"/>
  <c r="D98" i="12"/>
  <c r="E98" i="12" s="1"/>
  <c r="D18" i="12"/>
  <c r="E18" i="12" s="1"/>
  <c r="D55" i="12"/>
  <c r="E55" i="12" s="1"/>
  <c r="D101" i="12"/>
  <c r="E101" i="12" s="1"/>
  <c r="D35" i="12"/>
  <c r="E35" i="12" s="1"/>
  <c r="D77" i="12"/>
  <c r="E77" i="12" s="1"/>
  <c r="D99" i="12"/>
  <c r="E99" i="12" s="1"/>
  <c r="D72" i="12"/>
  <c r="E72" i="12" s="1"/>
  <c r="D4" i="12"/>
  <c r="E4" i="12" s="1"/>
  <c r="D85" i="12"/>
  <c r="E85" i="12" s="1"/>
  <c r="D67" i="12"/>
  <c r="E67" i="12" s="1"/>
  <c r="D22" i="12"/>
  <c r="E22" i="12" s="1"/>
  <c r="D25" i="12"/>
  <c r="E25" i="12" s="1"/>
  <c r="D91" i="12"/>
  <c r="E91" i="12" s="1"/>
  <c r="D21" i="12"/>
  <c r="E21" i="12" s="1"/>
  <c r="D11" i="12"/>
  <c r="E11" i="12" s="1"/>
  <c r="D17" i="12"/>
  <c r="E17" i="12" s="1"/>
  <c r="D10" i="12"/>
  <c r="E10" i="12" s="1"/>
  <c r="D88" i="12"/>
  <c r="E88" i="12" s="1"/>
  <c r="D32" i="12"/>
  <c r="E32" i="12" s="1"/>
  <c r="D71" i="12"/>
  <c r="E71" i="12" s="1"/>
  <c r="D94" i="12"/>
  <c r="E94" i="12" s="1"/>
  <c r="D31" i="12"/>
  <c r="E31" i="12" s="1"/>
  <c r="D6" i="12"/>
  <c r="E6" i="12" s="1"/>
  <c r="D40" i="12"/>
  <c r="E40" i="12" s="1"/>
  <c r="D39" i="12"/>
  <c r="E39" i="12" s="1"/>
  <c r="D53" i="12"/>
  <c r="E53" i="12" s="1"/>
  <c r="D56" i="12"/>
  <c r="E56" i="12" s="1"/>
  <c r="D33" i="12"/>
  <c r="E33" i="12" s="1"/>
  <c r="D79" i="12"/>
  <c r="E79" i="12" s="1"/>
  <c r="D44" i="12"/>
  <c r="E44" i="12" s="1"/>
  <c r="D15" i="12"/>
  <c r="E15" i="12" s="1"/>
  <c r="D70" i="12"/>
  <c r="E70" i="12" s="1"/>
  <c r="D14" i="12"/>
  <c r="E14" i="12" s="1"/>
  <c r="D30" i="12"/>
  <c r="E30" i="12" s="1"/>
  <c r="D13" i="12"/>
  <c r="E13" i="12" s="1"/>
  <c r="D5" i="12"/>
  <c r="E5" i="12" s="1"/>
  <c r="D97" i="12"/>
  <c r="E97" i="12" s="1"/>
  <c r="D24" i="12"/>
  <c r="E24" i="12" s="1"/>
  <c r="D86" i="12"/>
  <c r="E86" i="12" s="1"/>
  <c r="D16" i="12"/>
  <c r="E16" i="12" s="1"/>
  <c r="D93" i="12"/>
  <c r="E93" i="12" s="1"/>
  <c r="D64" i="12"/>
  <c r="E64" i="12" s="1"/>
  <c r="D62" i="12"/>
  <c r="E62" i="12" s="1"/>
  <c r="D59" i="12"/>
  <c r="E59" i="12" s="1"/>
  <c r="D52" i="12"/>
  <c r="E52" i="12" s="1"/>
  <c r="D43" i="12"/>
  <c r="E43" i="12" s="1"/>
  <c r="D3" i="12"/>
  <c r="E3" i="12" s="1"/>
  <c r="D38" i="12"/>
  <c r="E38" i="12" s="1"/>
  <c r="D54" i="12"/>
  <c r="E54" i="12" s="1"/>
  <c r="D29" i="12"/>
  <c r="E29" i="12" s="1"/>
  <c r="D78" i="12"/>
  <c r="E78" i="12" s="1"/>
  <c r="D48" i="12"/>
  <c r="E48" i="12" s="1"/>
  <c r="D34" i="12"/>
  <c r="E34" i="12" s="1"/>
  <c r="D69" i="12"/>
  <c r="E69" i="12" s="1"/>
  <c r="D8" i="12"/>
  <c r="E8" i="12" s="1"/>
  <c r="D87" i="12"/>
  <c r="E87" i="12" s="1"/>
  <c r="D83" i="12"/>
  <c r="E83" i="12" s="1"/>
  <c r="D95" i="12"/>
  <c r="E95" i="12" s="1"/>
  <c r="D27" i="12"/>
  <c r="E27" i="12" s="1"/>
  <c r="D92" i="12"/>
  <c r="E92" i="12" s="1"/>
  <c r="D47" i="12"/>
  <c r="E47" i="12" s="1"/>
  <c r="D65" i="12"/>
  <c r="E65" i="12" s="1"/>
  <c r="D46" i="12"/>
  <c r="E46" i="12" s="1"/>
  <c r="D51" i="12"/>
  <c r="E51" i="12" s="1"/>
  <c r="D63" i="12"/>
  <c r="E63" i="12" s="1"/>
  <c r="D19" i="12"/>
  <c r="E19" i="12" s="1"/>
  <c r="D49" i="12"/>
  <c r="E49" i="12" s="1"/>
  <c r="D66" i="12"/>
  <c r="E66" i="12" s="1"/>
  <c r="D2" i="12"/>
  <c r="E2" i="12" s="1"/>
  <c r="D58" i="12"/>
  <c r="E58" i="12" s="1"/>
  <c r="D68" i="12"/>
  <c r="E68" i="12" s="1"/>
  <c r="D84" i="12"/>
  <c r="E84" i="12" s="1"/>
  <c r="D20" i="12"/>
  <c r="E20" i="12" s="1"/>
  <c r="D12" i="12"/>
  <c r="E12" i="12" s="1"/>
  <c r="D96" i="12"/>
  <c r="E96" i="12" s="1"/>
  <c r="D57" i="12"/>
  <c r="E57" i="12" s="1"/>
  <c r="D81" i="12"/>
  <c r="E81" i="12" s="1"/>
  <c r="D100" i="12"/>
  <c r="E100" i="12" s="1"/>
  <c r="D41" i="12"/>
  <c r="E41" i="12" s="1"/>
  <c r="D45" i="12"/>
  <c r="E45" i="12" s="1"/>
  <c r="D9" i="12"/>
  <c r="E9" i="12" s="1"/>
  <c r="D89" i="12"/>
  <c r="E89" i="12" s="1"/>
  <c r="D37" i="12"/>
  <c r="E37" i="12" s="1"/>
  <c r="D73" i="12"/>
  <c r="E73" i="12" s="1"/>
  <c r="D82" i="12"/>
  <c r="E82" i="12" s="1"/>
  <c r="D61" i="12"/>
  <c r="E61" i="12" s="1"/>
  <c r="D28" i="12"/>
  <c r="E28" i="12" s="1"/>
  <c r="D90" i="12"/>
  <c r="E90" i="12" s="1"/>
  <c r="D76" i="12"/>
  <c r="E76" i="12" s="1"/>
  <c r="D36" i="12"/>
  <c r="E36" i="12" s="1"/>
  <c r="D74" i="12"/>
  <c r="E74" i="12" s="1"/>
  <c r="D75" i="12"/>
  <c r="E75" i="12" s="1"/>
  <c r="D60" i="12"/>
  <c r="E60" i="12" s="1"/>
  <c r="D50" i="12"/>
  <c r="E50" i="12" s="1"/>
  <c r="D42" i="12"/>
  <c r="E42" i="12" s="1"/>
</calcChain>
</file>

<file path=xl/sharedStrings.xml><?xml version="1.0" encoding="utf-8"?>
<sst xmlns="http://schemas.openxmlformats.org/spreadsheetml/2006/main" count="289" uniqueCount="229">
  <si>
    <t>ABS</t>
  </si>
  <si>
    <t>INT</t>
  </si>
  <si>
    <t>TRUNC</t>
  </si>
  <si>
    <t>ROUND</t>
  </si>
  <si>
    <t>SQRT</t>
  </si>
  <si>
    <t>POWER</t>
  </si>
  <si>
    <t>PI</t>
  </si>
  <si>
    <t>ROMAN</t>
  </si>
  <si>
    <t>RAND</t>
  </si>
  <si>
    <t>funkcija kao argument</t>
  </si>
  <si>
    <t>SUM</t>
  </si>
  <si>
    <t>PRODUCT</t>
  </si>
  <si>
    <t>RADIANS</t>
  </si>
  <si>
    <t>SIN</t>
  </si>
  <si>
    <t>ASIN</t>
  </si>
  <si>
    <t>DEGREES</t>
  </si>
  <si>
    <t>Koristeći funkcije koje si do sada upoznao u ćeliju C2 zapiši formulu kojom ćeš moći izračunati površinu kruga.
Vrijednost polumjera zapisana je u ćeliji E3.</t>
  </si>
  <si>
    <t>polumjer</t>
  </si>
  <si>
    <t>Koristeći funkcije u ćeliju C8 zapiši formulu kojom ćeš moći izračunati izraz na slici:
Vrijednost varijable X zapisana je u ćeliji E9.
Po izračunu, u ćeliji C10, dobivenoj vrijednosti  funkcijom odbaci decimalni dio.</t>
  </si>
  <si>
    <t>X</t>
  </si>
  <si>
    <t>Koristeći funkcije u ćeliju C14 zapiši  formulu kojom ćeš moći izračunati izraz na slici:
Vrijednost varijable X zapisana je u ćeliji E15.
Po izračunu, u ćeliju C16, dobivenu vrijednost zaokruži funkcijom na dva decimalna mjesta.</t>
  </si>
  <si>
    <t>Koristeći funkcije koje si do sada upoznao, riješi sljedeći zadatak:
U pravokutnom je trokutu poznat kut alfa (E21) (izražen u stupnjevima) i kateta a (F21).
Treba izračunati vrijednost hipotenuze c (zbog potrebite međuradnje, za rezultat su predviđene dvije ćelije, no moguće je sve upisati i u jednu ćeliju).</t>
  </si>
  <si>
    <t>kut alfa</t>
  </si>
  <si>
    <t>kateta a</t>
  </si>
  <si>
    <r>
      <t xml:space="preserve">Koristeći funkcije u ćeliju E3 zapiši  formulu kojom ćeš moći izračunati vrijednost izraza na slici (vrijednost varijable X zapisana je u ćeliji D3):
Po izračunu, kopiraj formulu kako bi  za svaku od zadanih vrijednosti varijable X, dobio pripadajuće Y vrijednosti.
Na osnovu dobivenih podataka napravi grfikon vrste: </t>
    </r>
    <r>
      <rPr>
        <b/>
        <sz val="12"/>
        <rFont val="Arial"/>
        <family val="2"/>
        <charset val="238"/>
      </rPr>
      <t>Raspršeni</t>
    </r>
    <r>
      <rPr>
        <sz val="12"/>
        <rFont val="Arial"/>
        <family val="2"/>
      </rPr>
      <t xml:space="preserve">; podvrsta: Raspršeno s ravnim crtama i oznakama.
Isključi prikaz legende.
Grafikon pohrani na zasebni radni list naziva: </t>
    </r>
    <r>
      <rPr>
        <b/>
        <sz val="12"/>
        <rFont val="Arial"/>
        <family val="2"/>
        <charset val="238"/>
      </rPr>
      <t xml:space="preserve">Grafikon funkcije
</t>
    </r>
    <r>
      <rPr>
        <sz val="12"/>
        <rFont val="Arial"/>
        <family val="2"/>
        <charset val="238"/>
      </rPr>
      <t xml:space="preserve">Uključi prikaz oznaka podataka za Y vrijednosti, a isključi prikaz oznaka na okomitoj osi.
Za vodoravnu os promijeni vrijednost glavne jedinice s 2 na 1.
Uključi prikaz primarnih okomitih crta rešetki, a isključi prikaz primarnih vodoravnih crta rešetki.
</t>
    </r>
  </si>
  <si>
    <t>Y</t>
  </si>
  <si>
    <t>COUNT</t>
  </si>
  <si>
    <t>COUNTA</t>
  </si>
  <si>
    <t>COUNTBLANK</t>
  </si>
  <si>
    <t>COUNTIF</t>
  </si>
  <si>
    <t>tekst</t>
  </si>
  <si>
    <t>AVERAGE</t>
  </si>
  <si>
    <t>MIN</t>
  </si>
  <si>
    <t>MAX</t>
  </si>
  <si>
    <t>MODE.SNGL</t>
  </si>
  <si>
    <t>Ime</t>
  </si>
  <si>
    <t>Prezime</t>
  </si>
  <si>
    <t>Prihod</t>
  </si>
  <si>
    <t>PDV</t>
  </si>
  <si>
    <t>Ukupno</t>
  </si>
  <si>
    <t>Ivo</t>
  </si>
  <si>
    <t>Aničić</t>
  </si>
  <si>
    <t>Zoran</t>
  </si>
  <si>
    <t>Anić</t>
  </si>
  <si>
    <t>Iva</t>
  </si>
  <si>
    <t>Ljerka</t>
  </si>
  <si>
    <t>Barić</t>
  </si>
  <si>
    <t xml:space="preserve">Promatraj raspon osoba počevši od Miljenka Kavurića pa do Zdenka Raiča.Koji je najveći iznos koji je netko od njih platio PDV? </t>
  </si>
  <si>
    <t>Boris</t>
  </si>
  <si>
    <t>Barišić</t>
  </si>
  <si>
    <t>Andrija</t>
  </si>
  <si>
    <t>Bašić</t>
  </si>
  <si>
    <t>Bernarda</t>
  </si>
  <si>
    <t>Bertović</t>
  </si>
  <si>
    <t>Miroslav</t>
  </si>
  <si>
    <t>Boban</t>
  </si>
  <si>
    <t>Anita</t>
  </si>
  <si>
    <t>Bobinac</t>
  </si>
  <si>
    <t xml:space="preserve">Djelatnike, počevši od Andrije Bubnjara  pa do Ivana Matoša zanima koliki su prihod (prihod bez PDVa) zajedno ostvarili. </t>
  </si>
  <si>
    <t>Bratislav</t>
  </si>
  <si>
    <t>Brajdić</t>
  </si>
  <si>
    <t>Bubnjar</t>
  </si>
  <si>
    <t>Dakić</t>
  </si>
  <si>
    <t>Dragutin</t>
  </si>
  <si>
    <t>Damjanović</t>
  </si>
  <si>
    <t>Dobranić</t>
  </si>
  <si>
    <t>Drago</t>
  </si>
  <si>
    <t>Dragić</t>
  </si>
  <si>
    <t xml:space="preserve">Promatraj raspon djelatnika počevši od Antuna Golubića pa do Gorana Perića. Kolika je prosiječna vrijednost PDVa koji su oni platili? </t>
  </si>
  <si>
    <t>Slaven</t>
  </si>
  <si>
    <t>Ivanka</t>
  </si>
  <si>
    <t>Petar</t>
  </si>
  <si>
    <t>Gliha</t>
  </si>
  <si>
    <t>Antun</t>
  </si>
  <si>
    <t>Golubić</t>
  </si>
  <si>
    <t>Željko</t>
  </si>
  <si>
    <t>Gradišar</t>
  </si>
  <si>
    <t>Domagoj</t>
  </si>
  <si>
    <t>Hadrović</t>
  </si>
  <si>
    <t xml:space="preserve">Promatraj raspon osoba počevši od Ante Kovača pa do Stjepana Kralja. Pomnoži vrijednosti njihovih prihoda (prihod bez PDVa). </t>
  </si>
  <si>
    <t>Tanja</t>
  </si>
  <si>
    <t>Ivanić</t>
  </si>
  <si>
    <t>Klaudija</t>
  </si>
  <si>
    <t>Ivić</t>
  </si>
  <si>
    <t>Marija</t>
  </si>
  <si>
    <t>Suzana</t>
  </si>
  <si>
    <t>Slavko</t>
  </si>
  <si>
    <t>Jandrečić</t>
  </si>
  <si>
    <t>Ivan</t>
  </si>
  <si>
    <t>Jokić</t>
  </si>
  <si>
    <t>Zbroji ukupne prihode osoba s prezimenom: Kovač, Ivić i Jukić</t>
  </si>
  <si>
    <t>Roko</t>
  </si>
  <si>
    <t>Jukić</t>
  </si>
  <si>
    <t>Mijo</t>
  </si>
  <si>
    <t>Jasna</t>
  </si>
  <si>
    <t>Jurčić</t>
  </si>
  <si>
    <t>Miljenko</t>
  </si>
  <si>
    <t>Kavurić</t>
  </si>
  <si>
    <t>Mladen</t>
  </si>
  <si>
    <t>Kolić</t>
  </si>
  <si>
    <t xml:space="preserve">Pronađi koja je vrijednost ukupnog prihoda najčešća. </t>
  </si>
  <si>
    <t>Kos</t>
  </si>
  <si>
    <t>Ante</t>
  </si>
  <si>
    <t>Kovač</t>
  </si>
  <si>
    <t>Mile</t>
  </si>
  <si>
    <t>Dragica</t>
  </si>
  <si>
    <t>Kovačić</t>
  </si>
  <si>
    <t xml:space="preserve">Pronađi koliko je ljudi imalo ukupni prihod veći od 5000. </t>
  </si>
  <si>
    <t>Stjepan</t>
  </si>
  <si>
    <t>Kralj</t>
  </si>
  <si>
    <t>Lekić</t>
  </si>
  <si>
    <t>Branko</t>
  </si>
  <si>
    <t>Lisac</t>
  </si>
  <si>
    <t>Goran</t>
  </si>
  <si>
    <t>Matija</t>
  </si>
  <si>
    <t>Lučić</t>
  </si>
  <si>
    <t>Pero</t>
  </si>
  <si>
    <t>Pronađi koja je srednja vrijednost PDVa koji su platile osobe s prezimenima: Dragić, Lisac i Sušić</t>
  </si>
  <si>
    <t>Dijana</t>
  </si>
  <si>
    <t>Lulić</t>
  </si>
  <si>
    <t>Ida</t>
  </si>
  <si>
    <t>Majačić</t>
  </si>
  <si>
    <t>Marijan</t>
  </si>
  <si>
    <t>Mandić</t>
  </si>
  <si>
    <t>Pavle</t>
  </si>
  <si>
    <t>Matačić</t>
  </si>
  <si>
    <t>Lovro</t>
  </si>
  <si>
    <t xml:space="preserve">Pronađi koliko ljudi ima ime Ivan. </t>
  </si>
  <si>
    <t>Matoš</t>
  </si>
  <si>
    <t>Ljubica</t>
  </si>
  <si>
    <t>Maurović</t>
  </si>
  <si>
    <t>Medved</t>
  </si>
  <si>
    <t>Slavica</t>
  </si>
  <si>
    <t>Mihalinčić</t>
  </si>
  <si>
    <t>Alemka</t>
  </si>
  <si>
    <t>Mlinarić</t>
  </si>
  <si>
    <t>Nobilo</t>
  </si>
  <si>
    <t xml:space="preserve">Pogledaj popis zapisan u ćelije J59:J74
Koristeći funkciju provjeri, pa u ćeliju H65 zapiši koliko je brojevnih podataka unutar zadanog raspona. </t>
  </si>
  <si>
    <t>Popis lozinki</t>
  </si>
  <si>
    <t>Josip</t>
  </si>
  <si>
    <t>Pajas</t>
  </si>
  <si>
    <t>Pando</t>
  </si>
  <si>
    <t>953-220-300-1</t>
  </si>
  <si>
    <t>953-6791-47-1</t>
  </si>
  <si>
    <t>Nataša</t>
  </si>
  <si>
    <t>Petra</t>
  </si>
  <si>
    <t>Papić</t>
  </si>
  <si>
    <t>978-953-14-0237-8</t>
  </si>
  <si>
    <t>Perić</t>
  </si>
  <si>
    <t>978-953-12-0688-4</t>
  </si>
  <si>
    <t>Ines</t>
  </si>
  <si>
    <t>Perković</t>
  </si>
  <si>
    <t>Maja</t>
  </si>
  <si>
    <t>Petretić</t>
  </si>
  <si>
    <t>978-953-220-582-4</t>
  </si>
  <si>
    <t>Igor</t>
  </si>
  <si>
    <t>Petrić</t>
  </si>
  <si>
    <t xml:space="preserve">Koristeći funkciju provjeri isti raspon ćelija, pa u ćeliju H73 zapiši koliko je praznih ćelija unutar zadanog raspona. </t>
  </si>
  <si>
    <t>978-953-240-079-3</t>
  </si>
  <si>
    <t>Luka</t>
  </si>
  <si>
    <t>Mirko</t>
  </si>
  <si>
    <t>953-6838-42-7</t>
  </si>
  <si>
    <t>953-220-415-6</t>
  </si>
  <si>
    <t>953 220 4156</t>
  </si>
  <si>
    <t>Požgaj</t>
  </si>
  <si>
    <t>978-953-220-558-9</t>
  </si>
  <si>
    <t>Račić</t>
  </si>
  <si>
    <t>Silvije</t>
  </si>
  <si>
    <t>Rađen</t>
  </si>
  <si>
    <t>Zdenko</t>
  </si>
  <si>
    <t>Raič</t>
  </si>
  <si>
    <t>Bruno</t>
  </si>
  <si>
    <t>Ranogajac</t>
  </si>
  <si>
    <t>Linda</t>
  </si>
  <si>
    <t>Rokić</t>
  </si>
  <si>
    <t>Željo</t>
  </si>
  <si>
    <t>Rončević</t>
  </si>
  <si>
    <t>Bojan</t>
  </si>
  <si>
    <t>Rukavina</t>
  </si>
  <si>
    <t>Ivana</t>
  </si>
  <si>
    <t>Runje</t>
  </si>
  <si>
    <t>Robert</t>
  </si>
  <si>
    <t>Antonio</t>
  </si>
  <si>
    <t>Ružić</t>
  </si>
  <si>
    <t>Sabljak</t>
  </si>
  <si>
    <t>Davor</t>
  </si>
  <si>
    <t>Selić</t>
  </si>
  <si>
    <t>Sever</t>
  </si>
  <si>
    <t>Dragan</t>
  </si>
  <si>
    <t>Simić</t>
  </si>
  <si>
    <t>Slavačić</t>
  </si>
  <si>
    <t>Somek</t>
  </si>
  <si>
    <t>Stjepčević</t>
  </si>
  <si>
    <t>Branka</t>
  </si>
  <si>
    <t>Sušić</t>
  </si>
  <si>
    <t>Karmela</t>
  </si>
  <si>
    <t>Šćuka</t>
  </si>
  <si>
    <t>Ana</t>
  </si>
  <si>
    <t>Šuker</t>
  </si>
  <si>
    <t>Darinka</t>
  </si>
  <si>
    <t>Šušnjar</t>
  </si>
  <si>
    <t>Tihana</t>
  </si>
  <si>
    <t>Vid</t>
  </si>
  <si>
    <t>Vinovrški</t>
  </si>
  <si>
    <t>Vlak</t>
  </si>
  <si>
    <t>Vojvoda</t>
  </si>
  <si>
    <t>NOW</t>
  </si>
  <si>
    <t>TODAY</t>
  </si>
  <si>
    <t>DATEVALUE</t>
  </si>
  <si>
    <t>DAY</t>
  </si>
  <si>
    <t>YEAR</t>
  </si>
  <si>
    <t>WEEKDAY</t>
  </si>
  <si>
    <t>TIMEVALUE</t>
  </si>
  <si>
    <t>HOUR</t>
  </si>
  <si>
    <t>Ovo je tekstni niz nepoznate duljine.</t>
  </si>
  <si>
    <t>LEN</t>
  </si>
  <si>
    <t>UPPER</t>
  </si>
  <si>
    <t>PROPER</t>
  </si>
  <si>
    <t>LEFT</t>
  </si>
  <si>
    <t>RIGHT</t>
  </si>
  <si>
    <t>MID</t>
  </si>
  <si>
    <t>CONCATENATE</t>
  </si>
  <si>
    <t>Ovo     je     tekstni niz.</t>
  </si>
  <si>
    <t>TRIM</t>
  </si>
  <si>
    <t>REPT</t>
  </si>
  <si>
    <t>CHAR</t>
  </si>
  <si>
    <t>AND</t>
  </si>
  <si>
    <t>OR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</si>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</sst>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kn&quot;_-;\-* #,##0.00\ &quot;kn&quot;_-;_-* &quot;-&quot;??\ &quot;kn&quot;_-;_-@_-"/>
  </numFmts>
  <fonts count="22" x14ac:knownFonts="1">
    <font>
      <sz val="11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0"/>
      <color indexed="9"/>
      <name val="Times New Roman CE"/>
      <family val="1"/>
      <charset val="238"/>
    </font>
    <font>
      <u/>
      <sz val="10"/>
      <color indexed="12"/>
      <name val="Arial"/>
      <family val="2"/>
    </font>
    <font>
      <b/>
      <i/>
      <sz val="12"/>
      <color theme="3"/>
      <name val="Bookman Old Style"/>
      <family val="1"/>
    </font>
    <font>
      <sz val="10"/>
      <name val="Times New Roman CE"/>
      <family val="1"/>
      <charset val="238"/>
    </font>
    <font>
      <sz val="10"/>
      <color indexed="8"/>
      <name val="MS Sans Serif"/>
      <family val="2"/>
    </font>
    <font>
      <sz val="10"/>
      <name val="Arial"/>
    </font>
    <font>
      <b/>
      <sz val="14"/>
      <color indexed="9"/>
      <name val="Arial CE"/>
      <family val="2"/>
      <charset val="238"/>
    </font>
    <font>
      <sz val="10"/>
      <name val="Arial"/>
      <charset val="238"/>
    </font>
    <font>
      <sz val="12"/>
      <name val="Arial"/>
      <family val="2"/>
    </font>
    <font>
      <sz val="18"/>
      <name val="Arial"/>
      <family val="2"/>
    </font>
    <font>
      <b/>
      <sz val="18"/>
      <color theme="1"/>
      <name val="Calibri"/>
      <family val="2"/>
      <charset val="238"/>
      <scheme val="minor"/>
    </font>
    <font>
      <b/>
      <sz val="16"/>
      <color theme="3"/>
      <name val="Calibri"/>
      <family val="2"/>
      <charset val="238"/>
      <scheme val="minor"/>
    </font>
    <font>
      <sz val="14"/>
      <name val="Arial"/>
      <family val="2"/>
    </font>
    <font>
      <sz val="16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slantDashDot">
        <color theme="4" tint="-0.24994659260841701"/>
      </left>
      <right style="slantDashDot">
        <color theme="4" tint="-0.24994659260841701"/>
      </right>
      <top style="slantDashDot">
        <color theme="4" tint="-0.24994659260841701"/>
      </top>
      <bottom style="slantDashDot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</borders>
  <cellStyleXfs count="16">
    <xf numFmtId="0" fontId="0" fillId="0" borderId="0"/>
    <xf numFmtId="0" fontId="5" fillId="0" borderId="0"/>
    <xf numFmtId="0" fontId="6" fillId="3" borderId="1"/>
    <xf numFmtId="0" fontId="7" fillId="0" borderId="0" applyNumberFormat="0" applyFill="0" applyBorder="0" applyAlignment="0" applyProtection="0">
      <alignment vertical="top"/>
      <protection locked="0"/>
    </xf>
    <xf numFmtId="0" fontId="8" fillId="4" borderId="8">
      <alignment horizontal="center" vertical="center"/>
    </xf>
    <xf numFmtId="0" fontId="9" fillId="0" borderId="1"/>
    <xf numFmtId="0" fontId="10" fillId="0" borderId="0"/>
    <xf numFmtId="0" fontId="10" fillId="0" borderId="0"/>
    <xf numFmtId="0" fontId="5" fillId="0" borderId="0"/>
    <xf numFmtId="0" fontId="4" fillId="0" borderId="0"/>
    <xf numFmtId="0" fontId="4" fillId="0" borderId="0"/>
    <xf numFmtId="0" fontId="11" fillId="0" borderId="0" applyNumberFormat="0" applyFont="0" applyFill="0" applyBorder="0" applyAlignment="0" applyProtection="0">
      <alignment vertical="top"/>
    </xf>
    <xf numFmtId="0" fontId="9" fillId="5" borderId="9">
      <alignment horizontal="justify"/>
    </xf>
    <xf numFmtId="0" fontId="12" fillId="6" borderId="0"/>
    <xf numFmtId="164" fontId="5" fillId="0" borderId="0" applyFont="0" applyFill="0" applyBorder="0" applyAlignment="0" applyProtection="0"/>
    <xf numFmtId="0" fontId="13" fillId="0" borderId="0"/>
  </cellStyleXfs>
  <cellXfs count="6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4" xfId="0" applyFont="1" applyBorder="1"/>
    <xf numFmtId="0" fontId="2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/>
    <xf numFmtId="0" fontId="3" fillId="0" borderId="0" xfId="0" applyFont="1"/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20" fontId="0" fillId="0" borderId="0" xfId="0" applyNumberFormat="1"/>
    <xf numFmtId="0" fontId="0" fillId="2" borderId="1" xfId="0" applyFill="1" applyBorder="1"/>
    <xf numFmtId="0" fontId="13" fillId="0" borderId="0" xfId="15"/>
    <xf numFmtId="0" fontId="14" fillId="0" borderId="0" xfId="1" applyFont="1" applyAlignment="1">
      <alignment horizontal="center" vertical="center"/>
    </xf>
    <xf numFmtId="0" fontId="3" fillId="2" borderId="1" xfId="0" applyFont="1" applyFill="1" applyBorder="1"/>
    <xf numFmtId="0" fontId="15" fillId="0" borderId="13" xfId="1" applyFont="1" applyBorder="1" applyAlignment="1">
      <alignment horizontal="center" vertical="center"/>
    </xf>
    <xf numFmtId="0" fontId="15" fillId="0" borderId="0" xfId="15" applyFont="1"/>
    <xf numFmtId="0" fontId="15" fillId="0" borderId="0" xfId="1" applyFont="1" applyAlignment="1">
      <alignment horizontal="center" vertical="center"/>
    </xf>
    <xf numFmtId="0" fontId="15" fillId="7" borderId="12" xfId="15" applyFont="1" applyFill="1" applyBorder="1"/>
    <xf numFmtId="0" fontId="15" fillId="7" borderId="11" xfId="15" applyFont="1" applyFill="1" applyBorder="1"/>
    <xf numFmtId="0" fontId="15" fillId="7" borderId="10" xfId="15" applyFont="1" applyFill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4" fillId="9" borderId="13" xfId="8" applyFont="1" applyFill="1" applyBorder="1" applyAlignment="1">
      <alignment horizontal="center" vertical="center"/>
    </xf>
    <xf numFmtId="0" fontId="5" fillId="0" borderId="0" xfId="1"/>
    <xf numFmtId="0" fontId="14" fillId="0" borderId="13" xfId="1" applyFont="1" applyBorder="1" applyAlignment="1">
      <alignment horizontal="left" vertical="center"/>
    </xf>
    <xf numFmtId="0" fontId="14" fillId="0" borderId="13" xfId="1" applyFont="1" applyBorder="1" applyAlignment="1">
      <alignment horizontal="center" vertical="center"/>
    </xf>
    <xf numFmtId="0" fontId="14" fillId="0" borderId="13" xfId="8" applyFont="1" applyBorder="1"/>
    <xf numFmtId="0" fontId="14" fillId="0" borderId="0" xfId="8" applyFont="1" applyAlignment="1">
      <alignment horizontal="center" vertical="center"/>
    </xf>
    <xf numFmtId="0" fontId="14" fillId="0" borderId="0" xfId="8" applyFont="1"/>
    <xf numFmtId="0" fontId="18" fillId="9" borderId="13" xfId="8" applyFont="1" applyFill="1" applyBorder="1" applyAlignment="1">
      <alignment horizontal="center" vertical="center"/>
    </xf>
    <xf numFmtId="0" fontId="14" fillId="0" borderId="13" xfId="8" applyFont="1" applyBorder="1" applyAlignment="1">
      <alignment horizontal="right"/>
    </xf>
    <xf numFmtId="0" fontId="14" fillId="0" borderId="13" xfId="1" applyFont="1" applyBorder="1" applyAlignment="1">
      <alignment horizontal="right" vertical="center"/>
    </xf>
    <xf numFmtId="0" fontId="14" fillId="0" borderId="0" xfId="8" applyFont="1" applyAlignment="1">
      <alignment horizontal="left" vertical="top" wrapText="1"/>
    </xf>
    <xf numFmtId="0" fontId="19" fillId="0" borderId="13" xfId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4" fillId="9" borderId="17" xfId="8" applyFont="1" applyFill="1" applyBorder="1" applyAlignment="1">
      <alignment horizontal="left" vertical="top" wrapText="1"/>
    </xf>
    <xf numFmtId="0" fontId="14" fillId="9" borderId="18" xfId="8" applyFont="1" applyFill="1" applyBorder="1" applyAlignment="1">
      <alignment horizontal="left" vertical="top" wrapText="1"/>
    </xf>
    <xf numFmtId="0" fontId="14" fillId="9" borderId="19" xfId="8" applyFont="1" applyFill="1" applyBorder="1" applyAlignment="1">
      <alignment horizontal="left" vertical="top" wrapText="1"/>
    </xf>
    <xf numFmtId="0" fontId="14" fillId="9" borderId="14" xfId="8" applyFont="1" applyFill="1" applyBorder="1" applyAlignment="1">
      <alignment horizontal="left" vertical="top" wrapText="1"/>
    </xf>
    <xf numFmtId="0" fontId="14" fillId="9" borderId="15" xfId="8" applyFont="1" applyFill="1" applyBorder="1" applyAlignment="1">
      <alignment horizontal="left" vertical="top" wrapText="1"/>
    </xf>
    <xf numFmtId="0" fontId="14" fillId="9" borderId="16" xfId="8" applyFont="1" applyFill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9" borderId="17" xfId="8" applyFont="1" applyFill="1" applyBorder="1" applyAlignment="1">
      <alignment horizontal="left" vertical="center" wrapText="1"/>
    </xf>
    <xf numFmtId="0" fontId="14" fillId="9" borderId="18" xfId="8" applyFont="1" applyFill="1" applyBorder="1" applyAlignment="1">
      <alignment horizontal="left" vertical="center" wrapText="1"/>
    </xf>
    <xf numFmtId="0" fontId="14" fillId="9" borderId="19" xfId="8" applyFont="1" applyFill="1" applyBorder="1" applyAlignment="1">
      <alignment horizontal="left" vertical="center" wrapText="1"/>
    </xf>
    <xf numFmtId="0" fontId="14" fillId="9" borderId="14" xfId="8" applyFont="1" applyFill="1" applyBorder="1" applyAlignment="1">
      <alignment horizontal="left" vertical="center" wrapText="1"/>
    </xf>
    <xf numFmtId="0" fontId="14" fillId="9" borderId="15" xfId="8" applyFont="1" applyFill="1" applyBorder="1" applyAlignment="1">
      <alignment horizontal="left" vertical="center" wrapText="1"/>
    </xf>
    <xf numFmtId="0" fontId="14" fillId="9" borderId="16" xfId="8" applyFont="1" applyFill="1" applyBorder="1" applyAlignment="1">
      <alignment horizontal="left" vertical="center" wrapText="1"/>
    </xf>
  </cellXfs>
  <cellStyles count="16">
    <cellStyle name="Ćelija s formulom" xfId="2" xr:uid="{00000000-0005-0000-0000-000001000000}"/>
    <cellStyle name="Hyperlink_SREDNJ(2004_2005)" xfId="3" xr:uid="{00000000-0005-0000-0000-000002000000}"/>
    <cellStyle name="Moj stil" xfId="4" xr:uid="{00000000-0005-0000-0000-000003000000}"/>
    <cellStyle name="Mreža" xfId="5" xr:uid="{00000000-0005-0000-0000-000004000000}"/>
    <cellStyle name="Normal" xfId="0" builtinId="0"/>
    <cellStyle name="Normalno 2" xfId="15" xr:uid="{00000000-0005-0000-0000-000007000000}"/>
    <cellStyle name="Obično 2" xfId="6" xr:uid="{00000000-0005-0000-0000-000008000000}"/>
    <cellStyle name="Obično 2 2" xfId="7" xr:uid="{00000000-0005-0000-0000-000009000000}"/>
    <cellStyle name="Obično 3" xfId="1" xr:uid="{00000000-0005-0000-0000-00000A000000}"/>
    <cellStyle name="Obično 4" xfId="8" xr:uid="{00000000-0005-0000-0000-00000B000000}"/>
    <cellStyle name="Obično 5" xfId="9" xr:uid="{00000000-0005-0000-0000-00000C000000}"/>
    <cellStyle name="Obično 6" xfId="10" xr:uid="{00000000-0005-0000-0000-00000D000000}"/>
    <cellStyle name="Obično 7" xfId="11" xr:uid="{00000000-0005-0000-0000-00000E000000}"/>
    <cellStyle name="Uzglavlje tablice" xfId="12" xr:uid="{00000000-0005-0000-0000-00000F000000}"/>
    <cellStyle name="Uzglavlje zadatka" xfId="13" xr:uid="{00000000-0005-0000-0000-000010000000}"/>
    <cellStyle name="Valuta 2" xfId="14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9</xdr:row>
      <xdr:rowOff>171450</xdr:rowOff>
    </xdr:from>
    <xdr:to>
      <xdr:col>0</xdr:col>
      <xdr:colOff>1638300</xdr:colOff>
      <xdr:row>10</xdr:row>
      <xdr:rowOff>877194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3" t="20619" r="62931" b="57216"/>
        <a:stretch/>
      </xdr:blipFill>
      <xdr:spPr>
        <a:xfrm>
          <a:off x="247649" y="742950"/>
          <a:ext cx="1390651" cy="934344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228600</xdr:colOff>
      <xdr:row>15</xdr:row>
      <xdr:rowOff>180975</xdr:rowOff>
    </xdr:from>
    <xdr:to>
      <xdr:col>0</xdr:col>
      <xdr:colOff>2000497</xdr:colOff>
      <xdr:row>16</xdr:row>
      <xdr:rowOff>981219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781300"/>
          <a:ext cx="1771897" cy="1028844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133349</xdr:colOff>
      <xdr:row>22</xdr:row>
      <xdr:rowOff>99051</xdr:rowOff>
    </xdr:from>
    <xdr:to>
      <xdr:col>0</xdr:col>
      <xdr:colOff>1419224</xdr:colOff>
      <xdr:row>22</xdr:row>
      <xdr:rowOff>1057275</xdr:rowOff>
    </xdr:to>
    <xdr:pic>
      <xdr:nvPicPr>
        <xdr:cNvPr id="6" name="Picture 7" descr="cp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133349" y="12538701"/>
          <a:ext cx="1285875" cy="958224"/>
        </a:xfrm>
        <a:prstGeom prst="rect">
          <a:avLst/>
        </a:prstGeom>
        <a:ln>
          <a:solidFill>
            <a:schemeClr val="accent2">
              <a:lumMod val="7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3</xdr:row>
      <xdr:rowOff>9525</xdr:rowOff>
    </xdr:from>
    <xdr:to>
      <xdr:col>0</xdr:col>
      <xdr:colOff>2628628</xdr:colOff>
      <xdr:row>6</xdr:row>
      <xdr:rowOff>190350</xdr:rowOff>
    </xdr:to>
    <xdr:pic>
      <xdr:nvPicPr>
        <xdr:cNvPr id="13" name="Slika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962025"/>
          <a:ext cx="2180953" cy="1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F18"/>
  <sheetViews>
    <sheetView topLeftCell="C1" zoomScaleNormal="100" workbookViewId="0">
      <selection activeCell="J2" sqref="J2"/>
    </sheetView>
  </sheetViews>
  <sheetFormatPr defaultRowHeight="14.4" x14ac:dyDescent="0.3"/>
  <cols>
    <col min="1" max="1" width="22.44140625" customWidth="1"/>
    <col min="2" max="10" width="20.6640625" customWidth="1"/>
    <col min="11" max="11" width="4.44140625" customWidth="1"/>
    <col min="12" max="12" width="20.88671875" customWidth="1"/>
    <col min="13" max="13" width="21.44140625" customWidth="1"/>
    <col min="14" max="14" width="21.5546875" customWidth="1"/>
  </cols>
  <sheetData>
    <row r="1" spans="1:84" ht="43.5" customHeight="1" x14ac:dyDescent="0.5500000000000000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2" t="s">
        <v>5</v>
      </c>
      <c r="H1" s="43"/>
      <c r="I1" s="3" t="s">
        <v>6</v>
      </c>
      <c r="J1" s="3" t="s">
        <v>7</v>
      </c>
      <c r="K1" s="45"/>
      <c r="L1" s="5" t="s">
        <v>8</v>
      </c>
      <c r="M1" s="6" t="s">
        <v>9</v>
      </c>
      <c r="N1" s="9" t="s">
        <v>9</v>
      </c>
    </row>
    <row r="2" spans="1:84" ht="28.8" x14ac:dyDescent="0.55000000000000004">
      <c r="A2" s="1">
        <v>7.83</v>
      </c>
      <c r="B2" s="7"/>
      <c r="C2" s="7"/>
      <c r="D2" s="7"/>
      <c r="E2" s="7"/>
      <c r="F2" s="7"/>
      <c r="G2" s="7"/>
      <c r="H2" s="7"/>
      <c r="I2" s="7"/>
      <c r="J2" s="7" t="str">
        <f>ROMAN(A2)</f>
        <v>VII</v>
      </c>
      <c r="K2" s="46"/>
      <c r="L2" s="7"/>
      <c r="M2" s="7"/>
      <c r="N2" s="7"/>
    </row>
    <row r="3" spans="1:84" ht="28.8" x14ac:dyDescent="0.55000000000000004">
      <c r="A3" s="1">
        <v>134.54300000000001</v>
      </c>
      <c r="B3" s="7"/>
      <c r="C3" s="7"/>
      <c r="D3" s="7"/>
      <c r="E3" s="7"/>
      <c r="F3" s="7"/>
      <c r="G3" s="7"/>
      <c r="H3" s="7"/>
      <c r="I3" s="13"/>
      <c r="J3" s="13"/>
      <c r="K3" s="46"/>
      <c r="L3" s="7"/>
      <c r="M3" s="7"/>
      <c r="N3" s="7"/>
    </row>
    <row r="4" spans="1:84" ht="28.8" x14ac:dyDescent="0.55000000000000004">
      <c r="A4" s="1">
        <v>-12.456799999999999</v>
      </c>
      <c r="B4" s="7"/>
      <c r="C4" s="7"/>
      <c r="D4" s="7"/>
      <c r="E4" s="7"/>
      <c r="F4" s="7"/>
      <c r="G4" s="7"/>
      <c r="H4" s="7"/>
      <c r="I4" s="13"/>
      <c r="J4" s="13"/>
      <c r="K4" s="46"/>
      <c r="L4" s="7"/>
      <c r="M4" s="7"/>
      <c r="N4" s="7"/>
    </row>
    <row r="5" spans="1:84" ht="28.8" x14ac:dyDescent="0.55000000000000004">
      <c r="A5" s="1">
        <v>-2</v>
      </c>
      <c r="B5" s="7"/>
      <c r="C5" s="7"/>
      <c r="D5" s="7"/>
      <c r="E5" s="7"/>
      <c r="F5" s="7"/>
      <c r="G5" s="7"/>
      <c r="H5" s="7"/>
      <c r="I5" s="13"/>
      <c r="J5" s="13"/>
      <c r="K5" s="46"/>
      <c r="L5" s="7"/>
      <c r="M5" s="7"/>
      <c r="N5" s="7"/>
    </row>
    <row r="6" spans="1:84" ht="28.8" x14ac:dyDescent="0.55000000000000004">
      <c r="A6" s="1">
        <v>543278.80000000005</v>
      </c>
      <c r="B6" s="7"/>
      <c r="C6" s="7"/>
      <c r="D6" s="7"/>
      <c r="E6" s="7"/>
      <c r="F6" s="7"/>
      <c r="G6" s="7"/>
      <c r="H6" s="7"/>
      <c r="I6" s="13"/>
      <c r="J6" s="13"/>
      <c r="K6" s="46"/>
      <c r="L6" s="7"/>
      <c r="M6" s="7"/>
      <c r="N6" s="7"/>
    </row>
    <row r="7" spans="1:84" ht="28.8" x14ac:dyDescent="0.55000000000000004">
      <c r="A7" s="4">
        <v>34567890</v>
      </c>
      <c r="B7" s="8"/>
      <c r="C7" s="8"/>
      <c r="D7" s="8"/>
      <c r="E7" s="8"/>
      <c r="F7" s="8"/>
      <c r="G7" s="8"/>
      <c r="H7" s="8"/>
      <c r="I7" s="13"/>
      <c r="J7" s="13"/>
      <c r="K7" s="46"/>
      <c r="L7" s="8"/>
      <c r="M7" s="8"/>
      <c r="N7" s="7"/>
    </row>
    <row r="8" spans="1:84" s="2" customFormat="1" ht="28.5" customHeight="1" x14ac:dyDescent="0.4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7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</row>
    <row r="9" spans="1:84" x14ac:dyDescent="0.3">
      <c r="M9" s="15"/>
      <c r="N9" s="15"/>
    </row>
    <row r="11" spans="1:84" ht="28.8" x14ac:dyDescent="0.55000000000000004">
      <c r="B11" s="1">
        <v>7.83</v>
      </c>
    </row>
    <row r="12" spans="1:84" ht="28.8" x14ac:dyDescent="0.55000000000000004">
      <c r="B12" s="1">
        <v>134.54300000000001</v>
      </c>
    </row>
    <row r="13" spans="1:84" ht="28.8" x14ac:dyDescent="0.55000000000000004">
      <c r="B13" s="1">
        <v>-12.456799999999999</v>
      </c>
    </row>
    <row r="14" spans="1:84" ht="28.8" x14ac:dyDescent="0.55000000000000004">
      <c r="B14" s="1">
        <v>-2</v>
      </c>
    </row>
    <row r="15" spans="1:84" ht="28.8" x14ac:dyDescent="0.55000000000000004">
      <c r="B15" s="1">
        <v>543278.80000000005</v>
      </c>
    </row>
    <row r="16" spans="1:84" ht="28.8" x14ac:dyDescent="0.55000000000000004">
      <c r="B16" s="1">
        <v>34567890</v>
      </c>
    </row>
    <row r="17" spans="1:2" ht="28.8" x14ac:dyDescent="0.55000000000000004">
      <c r="A17" s="3" t="s">
        <v>10</v>
      </c>
      <c r="B17" s="12"/>
    </row>
    <row r="18" spans="1:2" ht="28.8" x14ac:dyDescent="0.55000000000000004">
      <c r="A18" s="3" t="s">
        <v>11</v>
      </c>
      <c r="B18" s="12"/>
    </row>
  </sheetData>
  <mergeCells count="3">
    <mergeCell ref="G1:H1"/>
    <mergeCell ref="A8:L8"/>
    <mergeCell ref="K1:K7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E4"/>
  <sheetViews>
    <sheetView workbookViewId="0">
      <selection sqref="A1:B2"/>
    </sheetView>
  </sheetViews>
  <sheetFormatPr defaultRowHeight="14.4" x14ac:dyDescent="0.3"/>
  <cols>
    <col min="1" max="1" width="9.5546875" customWidth="1"/>
    <col min="2" max="2" width="25" customWidth="1"/>
    <col min="3" max="4" width="24.44140625" customWidth="1"/>
    <col min="5" max="5" width="20.88671875" customWidth="1"/>
  </cols>
  <sheetData>
    <row r="1" spans="1:5" ht="28.8" x14ac:dyDescent="0.55000000000000004">
      <c r="B1" s="3" t="s">
        <v>12</v>
      </c>
      <c r="C1" s="3" t="s">
        <v>13</v>
      </c>
      <c r="D1" s="3" t="s">
        <v>14</v>
      </c>
      <c r="E1" s="3" t="s">
        <v>15</v>
      </c>
    </row>
    <row r="2" spans="1:5" ht="28.8" x14ac:dyDescent="0.55000000000000004">
      <c r="A2" s="1">
        <v>30</v>
      </c>
      <c r="B2" s="7"/>
      <c r="C2" s="7"/>
      <c r="D2" s="7"/>
      <c r="E2" s="7"/>
    </row>
    <row r="3" spans="1:5" ht="28.8" x14ac:dyDescent="0.55000000000000004">
      <c r="A3" s="1">
        <v>90</v>
      </c>
      <c r="B3" s="7"/>
      <c r="C3" s="7"/>
      <c r="D3" s="7"/>
      <c r="E3" s="7"/>
    </row>
    <row r="4" spans="1:5" ht="28.8" x14ac:dyDescent="0.55000000000000004">
      <c r="A4" s="1">
        <v>45</v>
      </c>
      <c r="B4" s="7"/>
      <c r="C4" s="7"/>
      <c r="D4" s="7"/>
      <c r="E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2:F23"/>
  <sheetViews>
    <sheetView workbookViewId="0">
      <selection activeCell="E8" sqref="E8:E9"/>
    </sheetView>
  </sheetViews>
  <sheetFormatPr defaultRowHeight="14.4" x14ac:dyDescent="0.3"/>
  <cols>
    <col min="1" max="1" width="51.5546875" customWidth="1"/>
    <col min="3" max="3" width="30.44140625" customWidth="1"/>
    <col min="5" max="5" width="13.5546875" customWidth="1"/>
    <col min="6" max="6" width="13.6640625" customWidth="1"/>
    <col min="7" max="7" width="22" customWidth="1"/>
  </cols>
  <sheetData>
    <row r="2" spans="1:5" ht="17.399999999999999" x14ac:dyDescent="0.3">
      <c r="A2" s="47" t="s">
        <v>16</v>
      </c>
      <c r="C2" s="37"/>
      <c r="E2" s="30" t="s">
        <v>17</v>
      </c>
    </row>
    <row r="3" spans="1:5" ht="15" x14ac:dyDescent="0.3">
      <c r="A3" s="48"/>
      <c r="E3" s="39">
        <v>5</v>
      </c>
    </row>
    <row r="4" spans="1:5" x14ac:dyDescent="0.3">
      <c r="A4" s="48"/>
    </row>
    <row r="5" spans="1:5" x14ac:dyDescent="0.3">
      <c r="A5" s="49"/>
    </row>
    <row r="6" spans="1:5" ht="15" x14ac:dyDescent="0.3">
      <c r="A6" s="40"/>
    </row>
    <row r="8" spans="1:5" ht="17.399999999999999" x14ac:dyDescent="0.3">
      <c r="A8" s="50" t="s">
        <v>18</v>
      </c>
      <c r="C8" s="37"/>
      <c r="E8" s="30" t="s">
        <v>19</v>
      </c>
    </row>
    <row r="9" spans="1:5" ht="15" x14ac:dyDescent="0.3">
      <c r="A9" s="51"/>
      <c r="E9" s="39">
        <v>67</v>
      </c>
    </row>
    <row r="10" spans="1:5" ht="17.399999999999999" x14ac:dyDescent="0.3">
      <c r="A10" s="51"/>
      <c r="C10" s="37"/>
    </row>
    <row r="11" spans="1:5" ht="139.5" customHeight="1" x14ac:dyDescent="0.3">
      <c r="A11" s="52"/>
    </row>
    <row r="14" spans="1:5" ht="17.399999999999999" x14ac:dyDescent="0.3">
      <c r="A14" s="50" t="s">
        <v>20</v>
      </c>
      <c r="C14" s="37"/>
      <c r="E14" s="30" t="s">
        <v>19</v>
      </c>
    </row>
    <row r="15" spans="1:5" ht="15" x14ac:dyDescent="0.3">
      <c r="A15" s="51"/>
      <c r="E15" s="39">
        <v>-3</v>
      </c>
    </row>
    <row r="16" spans="1:5" ht="17.399999999999999" x14ac:dyDescent="0.3">
      <c r="A16" s="51"/>
      <c r="C16" s="37"/>
    </row>
    <row r="17" spans="1:6" ht="156" customHeight="1" x14ac:dyDescent="0.3">
      <c r="A17" s="52"/>
    </row>
    <row r="20" spans="1:6" ht="39.9" customHeight="1" x14ac:dyDescent="0.3">
      <c r="A20" s="47" t="s">
        <v>21</v>
      </c>
      <c r="C20" s="37"/>
      <c r="E20" s="30" t="s">
        <v>22</v>
      </c>
      <c r="F20" s="30" t="s">
        <v>23</v>
      </c>
    </row>
    <row r="21" spans="1:6" ht="39.9" customHeight="1" x14ac:dyDescent="0.3">
      <c r="A21" s="48"/>
      <c r="C21" s="37"/>
      <c r="E21" s="39">
        <v>60</v>
      </c>
      <c r="F21" s="39">
        <v>10</v>
      </c>
    </row>
    <row r="22" spans="1:6" ht="39.9" customHeight="1" x14ac:dyDescent="0.3">
      <c r="A22" s="48"/>
    </row>
    <row r="23" spans="1:6" ht="88.5" customHeight="1" x14ac:dyDescent="0.3">
      <c r="A23" s="49"/>
    </row>
  </sheetData>
  <mergeCells count="4">
    <mergeCell ref="A20:A23"/>
    <mergeCell ref="A8:A11"/>
    <mergeCell ref="A14:A17"/>
    <mergeCell ref="A2:A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2:E18"/>
  <sheetViews>
    <sheetView workbookViewId="0">
      <selection activeCell="G11" sqref="G11"/>
    </sheetView>
  </sheetViews>
  <sheetFormatPr defaultRowHeight="14.4" x14ac:dyDescent="0.3"/>
  <cols>
    <col min="1" max="1" width="56.6640625" customWidth="1"/>
    <col min="5" max="5" width="40.5546875" customWidth="1"/>
  </cols>
  <sheetData>
    <row r="2" spans="1:5" ht="30" customHeight="1" x14ac:dyDescent="0.3">
      <c r="A2" s="47" t="s">
        <v>24</v>
      </c>
      <c r="D2" s="30" t="s">
        <v>19</v>
      </c>
      <c r="E2" s="30" t="s">
        <v>25</v>
      </c>
    </row>
    <row r="3" spans="1:5" ht="30" customHeight="1" x14ac:dyDescent="0.3">
      <c r="A3" s="48"/>
      <c r="D3" s="41">
        <v>5</v>
      </c>
      <c r="E3" s="41"/>
    </row>
    <row r="4" spans="1:5" ht="30" customHeight="1" x14ac:dyDescent="0.3">
      <c r="A4" s="48"/>
      <c r="D4" s="41">
        <v>4</v>
      </c>
      <c r="E4" s="41"/>
    </row>
    <row r="5" spans="1:5" ht="30" customHeight="1" x14ac:dyDescent="0.3">
      <c r="A5" s="48"/>
      <c r="D5" s="41">
        <v>3</v>
      </c>
      <c r="E5" s="41"/>
    </row>
    <row r="6" spans="1:5" ht="20.399999999999999" x14ac:dyDescent="0.3">
      <c r="A6" s="48"/>
      <c r="D6" s="41">
        <v>2</v>
      </c>
      <c r="E6" s="41"/>
    </row>
    <row r="7" spans="1:5" ht="30" customHeight="1" x14ac:dyDescent="0.3">
      <c r="A7" s="48"/>
      <c r="D7" s="41">
        <v>1</v>
      </c>
      <c r="E7" s="41"/>
    </row>
    <row r="8" spans="1:5" ht="30" customHeight="1" x14ac:dyDescent="0.3">
      <c r="A8" s="48"/>
      <c r="D8" s="41">
        <v>0</v>
      </c>
      <c r="E8" s="41"/>
    </row>
    <row r="9" spans="1:5" ht="30" customHeight="1" x14ac:dyDescent="0.3">
      <c r="A9" s="48"/>
      <c r="D9" s="41">
        <v>-1</v>
      </c>
      <c r="E9" s="41"/>
    </row>
    <row r="10" spans="1:5" ht="30" customHeight="1" x14ac:dyDescent="0.3">
      <c r="A10" s="48"/>
      <c r="D10" s="41">
        <v>-2</v>
      </c>
      <c r="E10" s="41"/>
    </row>
    <row r="11" spans="1:5" ht="30" customHeight="1" x14ac:dyDescent="0.3">
      <c r="A11" s="48"/>
      <c r="D11" s="41">
        <v>-3</v>
      </c>
      <c r="E11" s="41"/>
    </row>
    <row r="12" spans="1:5" ht="30" customHeight="1" x14ac:dyDescent="0.3">
      <c r="A12" s="48"/>
      <c r="D12" s="41">
        <v>-4</v>
      </c>
      <c r="E12" s="41"/>
    </row>
    <row r="13" spans="1:5" ht="30" customHeight="1" x14ac:dyDescent="0.3">
      <c r="A13" s="48"/>
      <c r="D13" s="41">
        <v>-5</v>
      </c>
      <c r="E13" s="41"/>
    </row>
    <row r="14" spans="1:5" x14ac:dyDescent="0.3">
      <c r="A14" s="48"/>
    </row>
    <row r="15" spans="1:5" x14ac:dyDescent="0.3">
      <c r="A15" s="48"/>
    </row>
    <row r="16" spans="1:5" x14ac:dyDescent="0.3">
      <c r="A16" s="48"/>
    </row>
    <row r="17" spans="1:1" x14ac:dyDescent="0.3">
      <c r="A17" s="48"/>
    </row>
    <row r="18" spans="1:1" x14ac:dyDescent="0.3">
      <c r="A18" s="49"/>
    </row>
  </sheetData>
  <mergeCells count="1">
    <mergeCell ref="A2:A18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N22"/>
  <sheetViews>
    <sheetView topLeftCell="B1" zoomScaleNormal="100" workbookViewId="0">
      <selection activeCell="E2" sqref="E2"/>
    </sheetView>
  </sheetViews>
  <sheetFormatPr defaultRowHeight="14.4" x14ac:dyDescent="0.3"/>
  <cols>
    <col min="1" max="1" width="22" customWidth="1"/>
    <col min="2" max="2" width="25.5546875" bestFit="1" customWidth="1"/>
    <col min="5" max="5" width="21.88671875" customWidth="1"/>
    <col min="6" max="6" width="4.5546875" customWidth="1"/>
    <col min="7" max="7" width="21.88671875" customWidth="1"/>
    <col min="8" max="8" width="3.88671875" customWidth="1"/>
    <col min="9" max="9" width="21.88671875" customWidth="1"/>
    <col min="10" max="10" width="3.88671875" customWidth="1"/>
    <col min="11" max="11" width="22" customWidth="1"/>
    <col min="12" max="12" width="24.109375" customWidth="1"/>
    <col min="13" max="13" width="25.5546875" bestFit="1" customWidth="1"/>
    <col min="14" max="14" width="22" customWidth="1"/>
  </cols>
  <sheetData>
    <row r="1" spans="1:14" ht="28.8" x14ac:dyDescent="0.55000000000000004">
      <c r="B1" s="1">
        <v>7.83</v>
      </c>
      <c r="K1" s="3" t="s">
        <v>26</v>
      </c>
      <c r="L1" s="3" t="s">
        <v>27</v>
      </c>
      <c r="M1" s="3" t="s">
        <v>28</v>
      </c>
      <c r="N1" s="3" t="s">
        <v>29</v>
      </c>
    </row>
    <row r="2" spans="1:14" ht="28.8" x14ac:dyDescent="0.55000000000000004">
      <c r="B2" s="1">
        <v>134.54300000000001</v>
      </c>
      <c r="E2" s="1">
        <v>-2</v>
      </c>
      <c r="F2" s="53"/>
      <c r="G2" s="1">
        <v>-2</v>
      </c>
      <c r="H2" s="53"/>
      <c r="I2" s="1">
        <v>-2</v>
      </c>
      <c r="J2" s="53"/>
      <c r="K2" s="7"/>
      <c r="L2" s="7"/>
      <c r="M2" s="7"/>
      <c r="N2" s="7"/>
    </row>
    <row r="3" spans="1:14" ht="28.8" x14ac:dyDescent="0.55000000000000004">
      <c r="B3" s="1">
        <v>-12.456799999999999</v>
      </c>
      <c r="E3" s="1">
        <v>12.345000000000001</v>
      </c>
      <c r="F3" s="53"/>
      <c r="G3" s="1">
        <v>12.345000000000001</v>
      </c>
      <c r="H3" s="53"/>
      <c r="I3" s="1">
        <v>12.345000000000001</v>
      </c>
      <c r="J3" s="53"/>
      <c r="K3" s="18"/>
      <c r="L3" s="18"/>
      <c r="M3" s="18"/>
      <c r="N3" s="18"/>
    </row>
    <row r="4" spans="1:14" ht="28.8" x14ac:dyDescent="0.55000000000000004">
      <c r="B4" s="1">
        <v>-2</v>
      </c>
      <c r="E4" s="10">
        <v>42226</v>
      </c>
      <c r="F4" s="53"/>
      <c r="G4" s="1"/>
      <c r="H4" s="53"/>
      <c r="I4" s="1"/>
      <c r="J4" s="53"/>
      <c r="K4" s="7"/>
      <c r="L4" s="7"/>
      <c r="M4" s="7"/>
      <c r="N4" s="18"/>
    </row>
    <row r="5" spans="1:14" ht="28.8" x14ac:dyDescent="0.55000000000000004">
      <c r="B5" s="1">
        <v>543278.80000000005</v>
      </c>
      <c r="E5" s="1">
        <v>234.81</v>
      </c>
      <c r="F5" s="53"/>
      <c r="G5" s="10">
        <v>42226</v>
      </c>
      <c r="H5" s="53"/>
      <c r="I5" s="1" t="s">
        <v>30</v>
      </c>
      <c r="J5" s="53"/>
      <c r="K5" s="18"/>
      <c r="L5" s="18"/>
      <c r="M5" s="18"/>
      <c r="N5" s="18"/>
    </row>
    <row r="6" spans="1:14" ht="28.8" x14ac:dyDescent="0.55000000000000004">
      <c r="B6" s="1">
        <v>34567890</v>
      </c>
      <c r="E6" s="1">
        <v>123456</v>
      </c>
      <c r="F6" s="53"/>
      <c r="G6" s="1">
        <v>234.81</v>
      </c>
      <c r="H6" s="53"/>
      <c r="I6" s="10">
        <v>42226</v>
      </c>
      <c r="J6" s="53"/>
      <c r="K6" s="7"/>
      <c r="L6" s="7"/>
      <c r="M6" s="7"/>
      <c r="N6" s="18"/>
    </row>
    <row r="7" spans="1:14" ht="28.8" x14ac:dyDescent="0.55000000000000004">
      <c r="A7" s="3" t="s">
        <v>31</v>
      </c>
      <c r="B7" s="12"/>
      <c r="E7" s="1">
        <v>-2</v>
      </c>
      <c r="F7" s="53"/>
      <c r="G7" s="1">
        <v>123456</v>
      </c>
      <c r="H7" s="53"/>
      <c r="I7" s="1">
        <v>234.81</v>
      </c>
      <c r="J7" s="54"/>
      <c r="K7" s="18"/>
      <c r="L7" s="18"/>
      <c r="M7" s="18"/>
      <c r="N7" s="18"/>
    </row>
    <row r="8" spans="1:14" ht="28.8" x14ac:dyDescent="0.55000000000000004">
      <c r="A8" s="3" t="s">
        <v>32</v>
      </c>
      <c r="B8" s="12"/>
      <c r="G8" s="1">
        <v>-2</v>
      </c>
      <c r="H8" s="53"/>
      <c r="I8" s="1">
        <v>123456</v>
      </c>
      <c r="J8" s="54"/>
      <c r="K8" s="11"/>
      <c r="L8" s="11"/>
      <c r="M8" s="11"/>
    </row>
    <row r="9" spans="1:14" ht="28.8" x14ac:dyDescent="0.55000000000000004">
      <c r="A9" s="3" t="s">
        <v>33</v>
      </c>
      <c r="B9" s="12"/>
      <c r="I9" s="1">
        <v>-2</v>
      </c>
    </row>
    <row r="14" spans="1:14" ht="28.8" x14ac:dyDescent="0.55000000000000004">
      <c r="B14" s="1">
        <v>-2</v>
      </c>
    </row>
    <row r="15" spans="1:14" ht="28.8" x14ac:dyDescent="0.55000000000000004">
      <c r="B15" s="1">
        <v>12.345000000000001</v>
      </c>
    </row>
    <row r="16" spans="1:14" ht="28.8" x14ac:dyDescent="0.55000000000000004">
      <c r="B16" s="10">
        <v>42226</v>
      </c>
    </row>
    <row r="17" spans="1:2" ht="28.8" x14ac:dyDescent="0.55000000000000004">
      <c r="B17" s="1">
        <v>234.81</v>
      </c>
    </row>
    <row r="18" spans="1:2" ht="28.8" x14ac:dyDescent="0.55000000000000004">
      <c r="B18" s="1">
        <v>123456</v>
      </c>
    </row>
    <row r="19" spans="1:2" ht="28.8" x14ac:dyDescent="0.55000000000000004">
      <c r="B19" s="1">
        <v>-2</v>
      </c>
    </row>
    <row r="20" spans="1:2" ht="26.25" customHeight="1" x14ac:dyDescent="0.55000000000000004">
      <c r="A20" s="42"/>
      <c r="B20" s="43"/>
    </row>
    <row r="21" spans="1:2" ht="28.8" x14ac:dyDescent="0.55000000000000004">
      <c r="A21" s="3" t="s">
        <v>34</v>
      </c>
      <c r="B21" s="12"/>
    </row>
    <row r="22" spans="1:2" ht="28.8" x14ac:dyDescent="0.55000000000000004">
      <c r="A22" s="3" t="s">
        <v>34</v>
      </c>
      <c r="B22" s="12"/>
    </row>
  </sheetData>
  <mergeCells count="4">
    <mergeCell ref="F2:F7"/>
    <mergeCell ref="H2:H8"/>
    <mergeCell ref="J2:J8"/>
    <mergeCell ref="A20:B20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M36"/>
  <sheetViews>
    <sheetView zoomScaleNormal="100" workbookViewId="0">
      <selection activeCell="G26" sqref="G26"/>
    </sheetView>
  </sheetViews>
  <sheetFormatPr defaultColWidth="9.109375" defaultRowHeight="13.2" x14ac:dyDescent="0.25"/>
  <cols>
    <col min="1" max="16384" width="9.109375" style="16"/>
  </cols>
  <sheetData>
    <row r="1" spans="1:13" ht="22.8" x14ac:dyDescent="0.4">
      <c r="A1" s="19">
        <v>7</v>
      </c>
      <c r="B1" s="20"/>
      <c r="C1" s="19">
        <v>7</v>
      </c>
      <c r="D1" s="20"/>
      <c r="E1" s="19">
        <v>13</v>
      </c>
      <c r="F1" s="19">
        <v>2</v>
      </c>
      <c r="G1" s="20"/>
      <c r="H1" s="19">
        <v>7</v>
      </c>
      <c r="I1" s="21"/>
      <c r="J1" s="19">
        <v>7</v>
      </c>
      <c r="K1" s="19">
        <v>13</v>
      </c>
      <c r="L1" s="19">
        <v>2</v>
      </c>
      <c r="M1" s="22"/>
    </row>
    <row r="2" spans="1:13" ht="22.8" x14ac:dyDescent="0.4">
      <c r="A2" s="19">
        <v>8</v>
      </c>
      <c r="B2" s="20"/>
      <c r="C2" s="19">
        <v>8</v>
      </c>
      <c r="D2" s="20"/>
      <c r="E2" s="19">
        <v>12</v>
      </c>
      <c r="F2" s="19">
        <v>2</v>
      </c>
      <c r="G2" s="20"/>
      <c r="H2" s="19">
        <v>8</v>
      </c>
      <c r="I2" s="21"/>
      <c r="J2" s="19">
        <v>8</v>
      </c>
      <c r="K2" s="19">
        <v>12</v>
      </c>
      <c r="L2" s="19">
        <v>2</v>
      </c>
      <c r="M2" s="22"/>
    </row>
    <row r="3" spans="1:13" ht="22.8" x14ac:dyDescent="0.4">
      <c r="A3" s="19">
        <v>8</v>
      </c>
      <c r="B3" s="20"/>
      <c r="C3" s="19">
        <v>12</v>
      </c>
      <c r="D3" s="20"/>
      <c r="E3" s="19">
        <v>7</v>
      </c>
      <c r="F3" s="19">
        <v>1</v>
      </c>
      <c r="G3" s="20"/>
      <c r="H3" s="19">
        <v>8</v>
      </c>
      <c r="I3" s="21"/>
      <c r="J3" s="19">
        <v>12</v>
      </c>
      <c r="K3" s="19">
        <v>7</v>
      </c>
      <c r="L3" s="19">
        <v>1</v>
      </c>
      <c r="M3" s="22"/>
    </row>
    <row r="4" spans="1:13" ht="22.8" x14ac:dyDescent="0.4">
      <c r="A4" s="19">
        <v>6</v>
      </c>
      <c r="B4" s="20"/>
      <c r="C4" s="19">
        <v>9</v>
      </c>
      <c r="D4" s="20"/>
      <c r="E4" s="19">
        <v>13</v>
      </c>
      <c r="F4" s="19">
        <v>1</v>
      </c>
      <c r="G4" s="20"/>
      <c r="H4" s="19">
        <v>6</v>
      </c>
      <c r="I4" s="21"/>
      <c r="J4" s="19">
        <v>9</v>
      </c>
      <c r="K4" s="19">
        <v>13</v>
      </c>
      <c r="L4" s="19">
        <v>1</v>
      </c>
      <c r="M4" s="22"/>
    </row>
    <row r="5" spans="1:13" ht="22.8" x14ac:dyDescent="0.4">
      <c r="A5" s="19">
        <v>7</v>
      </c>
      <c r="B5" s="20"/>
      <c r="C5" s="19">
        <v>6</v>
      </c>
      <c r="D5" s="20"/>
      <c r="E5" s="19">
        <v>5</v>
      </c>
      <c r="F5" s="19">
        <v>0</v>
      </c>
      <c r="G5" s="20"/>
      <c r="H5" s="19">
        <v>7</v>
      </c>
      <c r="I5" s="21"/>
      <c r="J5" s="19">
        <v>6</v>
      </c>
      <c r="K5" s="19">
        <v>5</v>
      </c>
      <c r="L5" s="19">
        <v>0</v>
      </c>
      <c r="M5" s="22"/>
    </row>
    <row r="6" spans="1:13" ht="22.8" x14ac:dyDescent="0.4">
      <c r="A6" s="19">
        <v>6</v>
      </c>
      <c r="B6" s="20"/>
      <c r="C6" s="19">
        <v>14</v>
      </c>
      <c r="D6" s="20"/>
      <c r="E6" s="19">
        <v>8</v>
      </c>
      <c r="F6" s="19">
        <v>1</v>
      </c>
      <c r="G6" s="20"/>
      <c r="H6" s="19">
        <v>6</v>
      </c>
      <c r="I6" s="21"/>
      <c r="J6" s="19">
        <v>14</v>
      </c>
      <c r="K6" s="19">
        <v>8</v>
      </c>
      <c r="L6" s="19">
        <v>1</v>
      </c>
      <c r="M6" s="22"/>
    </row>
    <row r="7" spans="1:13" ht="22.8" x14ac:dyDescent="0.4">
      <c r="A7" s="19">
        <v>5</v>
      </c>
      <c r="B7" s="20"/>
      <c r="C7" s="19">
        <v>8</v>
      </c>
      <c r="D7" s="20"/>
      <c r="E7" s="19">
        <v>9</v>
      </c>
      <c r="F7" s="19">
        <v>4</v>
      </c>
      <c r="G7" s="20"/>
      <c r="H7" s="19">
        <v>5</v>
      </c>
      <c r="I7" s="21"/>
      <c r="J7" s="19">
        <v>8</v>
      </c>
      <c r="K7" s="19">
        <v>9</v>
      </c>
      <c r="L7" s="19">
        <v>4</v>
      </c>
      <c r="M7" s="22"/>
    </row>
    <row r="8" spans="1:13" ht="22.8" x14ac:dyDescent="0.4">
      <c r="A8" s="19">
        <v>4</v>
      </c>
      <c r="B8" s="20"/>
      <c r="C8" s="19">
        <v>13</v>
      </c>
      <c r="D8" s="20"/>
      <c r="E8" s="19">
        <v>8</v>
      </c>
      <c r="F8" s="19">
        <v>2</v>
      </c>
      <c r="G8" s="20"/>
      <c r="H8" s="19">
        <v>4</v>
      </c>
      <c r="I8" s="21"/>
      <c r="J8" s="19">
        <v>13</v>
      </c>
      <c r="K8" s="19">
        <v>8</v>
      </c>
      <c r="L8" s="19">
        <v>2</v>
      </c>
      <c r="M8" s="22"/>
    </row>
    <row r="9" spans="1:13" ht="22.8" x14ac:dyDescent="0.4">
      <c r="A9" s="19">
        <v>5</v>
      </c>
      <c r="B9" s="20"/>
      <c r="C9" s="19">
        <v>11</v>
      </c>
      <c r="D9" s="20"/>
      <c r="E9" s="19">
        <v>6</v>
      </c>
      <c r="F9" s="19">
        <v>3</v>
      </c>
      <c r="G9" s="20"/>
      <c r="H9" s="19">
        <v>5</v>
      </c>
      <c r="I9" s="21"/>
      <c r="J9" s="19">
        <v>11</v>
      </c>
      <c r="K9" s="19">
        <v>6</v>
      </c>
      <c r="L9" s="19">
        <v>3</v>
      </c>
      <c r="M9" s="22"/>
    </row>
    <row r="10" spans="1:13" ht="22.8" x14ac:dyDescent="0.4">
      <c r="A10" s="19">
        <v>6</v>
      </c>
      <c r="B10" s="20"/>
      <c r="C10" s="19">
        <v>13</v>
      </c>
      <c r="D10" s="20"/>
      <c r="E10" s="19">
        <v>6</v>
      </c>
      <c r="F10" s="19">
        <v>2</v>
      </c>
      <c r="G10" s="20"/>
      <c r="H10" s="19">
        <v>6</v>
      </c>
      <c r="I10" s="21"/>
      <c r="J10" s="19">
        <v>13</v>
      </c>
      <c r="K10" s="19">
        <v>6</v>
      </c>
      <c r="L10" s="19">
        <v>2</v>
      </c>
      <c r="M10" s="22"/>
    </row>
    <row r="11" spans="1:13" ht="22.8" x14ac:dyDescent="0.4">
      <c r="A11" s="23"/>
      <c r="B11" s="20"/>
      <c r="C11" s="23"/>
      <c r="D11" s="20"/>
      <c r="E11" s="23"/>
      <c r="F11" s="23"/>
      <c r="G11" s="20"/>
      <c r="H11" s="23"/>
      <c r="I11" s="20"/>
      <c r="J11" s="23"/>
      <c r="K11" s="23"/>
      <c r="L11" s="23"/>
      <c r="M11" s="24"/>
    </row>
    <row r="28" spans="5:5" ht="15" x14ac:dyDescent="0.25">
      <c r="E28" s="17"/>
    </row>
    <row r="29" spans="5:5" ht="15" x14ac:dyDescent="0.25">
      <c r="E29" s="17"/>
    </row>
    <row r="30" spans="5:5" ht="15" x14ac:dyDescent="0.25">
      <c r="E30" s="17"/>
    </row>
    <row r="31" spans="5:5" ht="15" x14ac:dyDescent="0.25">
      <c r="E31" s="17"/>
    </row>
    <row r="32" spans="5:5" ht="15" x14ac:dyDescent="0.25">
      <c r="E32" s="17"/>
    </row>
    <row r="33" spans="5:5" ht="15" x14ac:dyDescent="0.25">
      <c r="E33" s="17"/>
    </row>
    <row r="34" spans="5:5" ht="15" x14ac:dyDescent="0.25">
      <c r="E34" s="17"/>
    </row>
    <row r="35" spans="5:5" ht="15" x14ac:dyDescent="0.25">
      <c r="E35" s="17"/>
    </row>
    <row r="36" spans="5:5" ht="15" x14ac:dyDescent="0.25">
      <c r="E36" s="17"/>
    </row>
  </sheetData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K105"/>
  <sheetViews>
    <sheetView showGridLines="0" topLeftCell="A11" workbookViewId="0">
      <selection activeCell="J5" sqref="J5"/>
    </sheetView>
  </sheetViews>
  <sheetFormatPr defaultRowHeight="13.2" x14ac:dyDescent="0.25"/>
  <cols>
    <col min="1" max="1" width="10.5546875" style="31" bestFit="1" customWidth="1"/>
    <col min="2" max="2" width="13" style="31" bestFit="1" customWidth="1"/>
    <col min="3" max="3" width="17" style="31" bestFit="1" customWidth="1"/>
    <col min="4" max="4" width="17.88671875" style="31" customWidth="1"/>
    <col min="5" max="5" width="18" style="31" customWidth="1"/>
    <col min="6" max="7" width="9.109375" style="31"/>
    <col min="8" max="8" width="39" style="31" bestFit="1" customWidth="1"/>
    <col min="9" max="9" width="3.6640625" style="31" customWidth="1"/>
    <col min="10" max="10" width="32.5546875" style="31" customWidth="1"/>
    <col min="11" max="256" width="9.109375" style="31"/>
    <col min="257" max="257" width="10.5546875" style="31" bestFit="1" customWidth="1"/>
    <col min="258" max="258" width="13" style="31" bestFit="1" customWidth="1"/>
    <col min="259" max="259" width="17" style="31" bestFit="1" customWidth="1"/>
    <col min="260" max="260" width="17.88671875" style="31" customWidth="1"/>
    <col min="261" max="261" width="18" style="31" customWidth="1"/>
    <col min="262" max="512" width="9.109375" style="31"/>
    <col min="513" max="513" width="10.5546875" style="31" bestFit="1" customWidth="1"/>
    <col min="514" max="514" width="13" style="31" bestFit="1" customWidth="1"/>
    <col min="515" max="515" width="17" style="31" bestFit="1" customWidth="1"/>
    <col min="516" max="516" width="17.88671875" style="31" customWidth="1"/>
    <col min="517" max="517" width="18" style="31" customWidth="1"/>
    <col min="518" max="768" width="9.109375" style="31"/>
    <col min="769" max="769" width="10.5546875" style="31" bestFit="1" customWidth="1"/>
    <col min="770" max="770" width="13" style="31" bestFit="1" customWidth="1"/>
    <col min="771" max="771" width="17" style="31" bestFit="1" customWidth="1"/>
    <col min="772" max="772" width="17.88671875" style="31" customWidth="1"/>
    <col min="773" max="773" width="18" style="31" customWidth="1"/>
    <col min="774" max="1024" width="9.109375" style="31"/>
    <col min="1025" max="1025" width="10.5546875" style="31" bestFit="1" customWidth="1"/>
    <col min="1026" max="1026" width="13" style="31" bestFit="1" customWidth="1"/>
    <col min="1027" max="1027" width="17" style="31" bestFit="1" customWidth="1"/>
    <col min="1028" max="1028" width="17.88671875" style="31" customWidth="1"/>
    <col min="1029" max="1029" width="18" style="31" customWidth="1"/>
    <col min="1030" max="1280" width="9.109375" style="31"/>
    <col min="1281" max="1281" width="10.5546875" style="31" bestFit="1" customWidth="1"/>
    <col min="1282" max="1282" width="13" style="31" bestFit="1" customWidth="1"/>
    <col min="1283" max="1283" width="17" style="31" bestFit="1" customWidth="1"/>
    <col min="1284" max="1284" width="17.88671875" style="31" customWidth="1"/>
    <col min="1285" max="1285" width="18" style="31" customWidth="1"/>
    <col min="1286" max="1536" width="9.109375" style="31"/>
    <col min="1537" max="1537" width="10.5546875" style="31" bestFit="1" customWidth="1"/>
    <col min="1538" max="1538" width="13" style="31" bestFit="1" customWidth="1"/>
    <col min="1539" max="1539" width="17" style="31" bestFit="1" customWidth="1"/>
    <col min="1540" max="1540" width="17.88671875" style="31" customWidth="1"/>
    <col min="1541" max="1541" width="18" style="31" customWidth="1"/>
    <col min="1542" max="1792" width="9.109375" style="31"/>
    <col min="1793" max="1793" width="10.5546875" style="31" bestFit="1" customWidth="1"/>
    <col min="1794" max="1794" width="13" style="31" bestFit="1" customWidth="1"/>
    <col min="1795" max="1795" width="17" style="31" bestFit="1" customWidth="1"/>
    <col min="1796" max="1796" width="17.88671875" style="31" customWidth="1"/>
    <col min="1797" max="1797" width="18" style="31" customWidth="1"/>
    <col min="1798" max="2048" width="9.109375" style="31"/>
    <col min="2049" max="2049" width="10.5546875" style="31" bestFit="1" customWidth="1"/>
    <col min="2050" max="2050" width="13" style="31" bestFit="1" customWidth="1"/>
    <col min="2051" max="2051" width="17" style="31" bestFit="1" customWidth="1"/>
    <col min="2052" max="2052" width="17.88671875" style="31" customWidth="1"/>
    <col min="2053" max="2053" width="18" style="31" customWidth="1"/>
    <col min="2054" max="2304" width="9.109375" style="31"/>
    <col min="2305" max="2305" width="10.5546875" style="31" bestFit="1" customWidth="1"/>
    <col min="2306" max="2306" width="13" style="31" bestFit="1" customWidth="1"/>
    <col min="2307" max="2307" width="17" style="31" bestFit="1" customWidth="1"/>
    <col min="2308" max="2308" width="17.88671875" style="31" customWidth="1"/>
    <col min="2309" max="2309" width="18" style="31" customWidth="1"/>
    <col min="2310" max="2560" width="9.109375" style="31"/>
    <col min="2561" max="2561" width="10.5546875" style="31" bestFit="1" customWidth="1"/>
    <col min="2562" max="2562" width="13" style="31" bestFit="1" customWidth="1"/>
    <col min="2563" max="2563" width="17" style="31" bestFit="1" customWidth="1"/>
    <col min="2564" max="2564" width="17.88671875" style="31" customWidth="1"/>
    <col min="2565" max="2565" width="18" style="31" customWidth="1"/>
    <col min="2566" max="2816" width="9.109375" style="31"/>
    <col min="2817" max="2817" width="10.5546875" style="31" bestFit="1" customWidth="1"/>
    <col min="2818" max="2818" width="13" style="31" bestFit="1" customWidth="1"/>
    <col min="2819" max="2819" width="17" style="31" bestFit="1" customWidth="1"/>
    <col min="2820" max="2820" width="17.88671875" style="31" customWidth="1"/>
    <col min="2821" max="2821" width="18" style="31" customWidth="1"/>
    <col min="2822" max="3072" width="9.109375" style="31"/>
    <col min="3073" max="3073" width="10.5546875" style="31" bestFit="1" customWidth="1"/>
    <col min="3074" max="3074" width="13" style="31" bestFit="1" customWidth="1"/>
    <col min="3075" max="3075" width="17" style="31" bestFit="1" customWidth="1"/>
    <col min="3076" max="3076" width="17.88671875" style="31" customWidth="1"/>
    <col min="3077" max="3077" width="18" style="31" customWidth="1"/>
    <col min="3078" max="3328" width="9.109375" style="31"/>
    <col min="3329" max="3329" width="10.5546875" style="31" bestFit="1" customWidth="1"/>
    <col min="3330" max="3330" width="13" style="31" bestFit="1" customWidth="1"/>
    <col min="3331" max="3331" width="17" style="31" bestFit="1" customWidth="1"/>
    <col min="3332" max="3332" width="17.88671875" style="31" customWidth="1"/>
    <col min="3333" max="3333" width="18" style="31" customWidth="1"/>
    <col min="3334" max="3584" width="9.109375" style="31"/>
    <col min="3585" max="3585" width="10.5546875" style="31" bestFit="1" customWidth="1"/>
    <col min="3586" max="3586" width="13" style="31" bestFit="1" customWidth="1"/>
    <col min="3587" max="3587" width="17" style="31" bestFit="1" customWidth="1"/>
    <col min="3588" max="3588" width="17.88671875" style="31" customWidth="1"/>
    <col min="3589" max="3589" width="18" style="31" customWidth="1"/>
    <col min="3590" max="3840" width="9.109375" style="31"/>
    <col min="3841" max="3841" width="10.5546875" style="31" bestFit="1" customWidth="1"/>
    <col min="3842" max="3842" width="13" style="31" bestFit="1" customWidth="1"/>
    <col min="3843" max="3843" width="17" style="31" bestFit="1" customWidth="1"/>
    <col min="3844" max="3844" width="17.88671875" style="31" customWidth="1"/>
    <col min="3845" max="3845" width="18" style="31" customWidth="1"/>
    <col min="3846" max="4096" width="9.109375" style="31"/>
    <col min="4097" max="4097" width="10.5546875" style="31" bestFit="1" customWidth="1"/>
    <col min="4098" max="4098" width="13" style="31" bestFit="1" customWidth="1"/>
    <col min="4099" max="4099" width="17" style="31" bestFit="1" customWidth="1"/>
    <col min="4100" max="4100" width="17.88671875" style="31" customWidth="1"/>
    <col min="4101" max="4101" width="18" style="31" customWidth="1"/>
    <col min="4102" max="4352" width="9.109375" style="31"/>
    <col min="4353" max="4353" width="10.5546875" style="31" bestFit="1" customWidth="1"/>
    <col min="4354" max="4354" width="13" style="31" bestFit="1" customWidth="1"/>
    <col min="4355" max="4355" width="17" style="31" bestFit="1" customWidth="1"/>
    <col min="4356" max="4356" width="17.88671875" style="31" customWidth="1"/>
    <col min="4357" max="4357" width="18" style="31" customWidth="1"/>
    <col min="4358" max="4608" width="9.109375" style="31"/>
    <col min="4609" max="4609" width="10.5546875" style="31" bestFit="1" customWidth="1"/>
    <col min="4610" max="4610" width="13" style="31" bestFit="1" customWidth="1"/>
    <col min="4611" max="4611" width="17" style="31" bestFit="1" customWidth="1"/>
    <col min="4612" max="4612" width="17.88671875" style="31" customWidth="1"/>
    <col min="4613" max="4613" width="18" style="31" customWidth="1"/>
    <col min="4614" max="4864" width="9.109375" style="31"/>
    <col min="4865" max="4865" width="10.5546875" style="31" bestFit="1" customWidth="1"/>
    <col min="4866" max="4866" width="13" style="31" bestFit="1" customWidth="1"/>
    <col min="4867" max="4867" width="17" style="31" bestFit="1" customWidth="1"/>
    <col min="4868" max="4868" width="17.88671875" style="31" customWidth="1"/>
    <col min="4869" max="4869" width="18" style="31" customWidth="1"/>
    <col min="4870" max="5120" width="9.109375" style="31"/>
    <col min="5121" max="5121" width="10.5546875" style="31" bestFit="1" customWidth="1"/>
    <col min="5122" max="5122" width="13" style="31" bestFit="1" customWidth="1"/>
    <col min="5123" max="5123" width="17" style="31" bestFit="1" customWidth="1"/>
    <col min="5124" max="5124" width="17.88671875" style="31" customWidth="1"/>
    <col min="5125" max="5125" width="18" style="31" customWidth="1"/>
    <col min="5126" max="5376" width="9.109375" style="31"/>
    <col min="5377" max="5377" width="10.5546875" style="31" bestFit="1" customWidth="1"/>
    <col min="5378" max="5378" width="13" style="31" bestFit="1" customWidth="1"/>
    <col min="5379" max="5379" width="17" style="31" bestFit="1" customWidth="1"/>
    <col min="5380" max="5380" width="17.88671875" style="31" customWidth="1"/>
    <col min="5381" max="5381" width="18" style="31" customWidth="1"/>
    <col min="5382" max="5632" width="9.109375" style="31"/>
    <col min="5633" max="5633" width="10.5546875" style="31" bestFit="1" customWidth="1"/>
    <col min="5634" max="5634" width="13" style="31" bestFit="1" customWidth="1"/>
    <col min="5635" max="5635" width="17" style="31" bestFit="1" customWidth="1"/>
    <col min="5636" max="5636" width="17.88671875" style="31" customWidth="1"/>
    <col min="5637" max="5637" width="18" style="31" customWidth="1"/>
    <col min="5638" max="5888" width="9.109375" style="31"/>
    <col min="5889" max="5889" width="10.5546875" style="31" bestFit="1" customWidth="1"/>
    <col min="5890" max="5890" width="13" style="31" bestFit="1" customWidth="1"/>
    <col min="5891" max="5891" width="17" style="31" bestFit="1" customWidth="1"/>
    <col min="5892" max="5892" width="17.88671875" style="31" customWidth="1"/>
    <col min="5893" max="5893" width="18" style="31" customWidth="1"/>
    <col min="5894" max="6144" width="9.109375" style="31"/>
    <col min="6145" max="6145" width="10.5546875" style="31" bestFit="1" customWidth="1"/>
    <col min="6146" max="6146" width="13" style="31" bestFit="1" customWidth="1"/>
    <col min="6147" max="6147" width="17" style="31" bestFit="1" customWidth="1"/>
    <col min="6148" max="6148" width="17.88671875" style="31" customWidth="1"/>
    <col min="6149" max="6149" width="18" style="31" customWidth="1"/>
    <col min="6150" max="6400" width="9.109375" style="31"/>
    <col min="6401" max="6401" width="10.5546875" style="31" bestFit="1" customWidth="1"/>
    <col min="6402" max="6402" width="13" style="31" bestFit="1" customWidth="1"/>
    <col min="6403" max="6403" width="17" style="31" bestFit="1" customWidth="1"/>
    <col min="6404" max="6404" width="17.88671875" style="31" customWidth="1"/>
    <col min="6405" max="6405" width="18" style="31" customWidth="1"/>
    <col min="6406" max="6656" width="9.109375" style="31"/>
    <col min="6657" max="6657" width="10.5546875" style="31" bestFit="1" customWidth="1"/>
    <col min="6658" max="6658" width="13" style="31" bestFit="1" customWidth="1"/>
    <col min="6659" max="6659" width="17" style="31" bestFit="1" customWidth="1"/>
    <col min="6660" max="6660" width="17.88671875" style="31" customWidth="1"/>
    <col min="6661" max="6661" width="18" style="31" customWidth="1"/>
    <col min="6662" max="6912" width="9.109375" style="31"/>
    <col min="6913" max="6913" width="10.5546875" style="31" bestFit="1" customWidth="1"/>
    <col min="6914" max="6914" width="13" style="31" bestFit="1" customWidth="1"/>
    <col min="6915" max="6915" width="17" style="31" bestFit="1" customWidth="1"/>
    <col min="6916" max="6916" width="17.88671875" style="31" customWidth="1"/>
    <col min="6917" max="6917" width="18" style="31" customWidth="1"/>
    <col min="6918" max="7168" width="9.109375" style="31"/>
    <col min="7169" max="7169" width="10.5546875" style="31" bestFit="1" customWidth="1"/>
    <col min="7170" max="7170" width="13" style="31" bestFit="1" customWidth="1"/>
    <col min="7171" max="7171" width="17" style="31" bestFit="1" customWidth="1"/>
    <col min="7172" max="7172" width="17.88671875" style="31" customWidth="1"/>
    <col min="7173" max="7173" width="18" style="31" customWidth="1"/>
    <col min="7174" max="7424" width="9.109375" style="31"/>
    <col min="7425" max="7425" width="10.5546875" style="31" bestFit="1" customWidth="1"/>
    <col min="7426" max="7426" width="13" style="31" bestFit="1" customWidth="1"/>
    <col min="7427" max="7427" width="17" style="31" bestFit="1" customWidth="1"/>
    <col min="7428" max="7428" width="17.88671875" style="31" customWidth="1"/>
    <col min="7429" max="7429" width="18" style="31" customWidth="1"/>
    <col min="7430" max="7680" width="9.109375" style="31"/>
    <col min="7681" max="7681" width="10.5546875" style="31" bestFit="1" customWidth="1"/>
    <col min="7682" max="7682" width="13" style="31" bestFit="1" customWidth="1"/>
    <col min="7683" max="7683" width="17" style="31" bestFit="1" customWidth="1"/>
    <col min="7684" max="7684" width="17.88671875" style="31" customWidth="1"/>
    <col min="7685" max="7685" width="18" style="31" customWidth="1"/>
    <col min="7686" max="7936" width="9.109375" style="31"/>
    <col min="7937" max="7937" width="10.5546875" style="31" bestFit="1" customWidth="1"/>
    <col min="7938" max="7938" width="13" style="31" bestFit="1" customWidth="1"/>
    <col min="7939" max="7939" width="17" style="31" bestFit="1" customWidth="1"/>
    <col min="7940" max="7940" width="17.88671875" style="31" customWidth="1"/>
    <col min="7941" max="7941" width="18" style="31" customWidth="1"/>
    <col min="7942" max="8192" width="9.109375" style="31"/>
    <col min="8193" max="8193" width="10.5546875" style="31" bestFit="1" customWidth="1"/>
    <col min="8194" max="8194" width="13" style="31" bestFit="1" customWidth="1"/>
    <col min="8195" max="8195" width="17" style="31" bestFit="1" customWidth="1"/>
    <col min="8196" max="8196" width="17.88671875" style="31" customWidth="1"/>
    <col min="8197" max="8197" width="18" style="31" customWidth="1"/>
    <col min="8198" max="8448" width="9.109375" style="31"/>
    <col min="8449" max="8449" width="10.5546875" style="31" bestFit="1" customWidth="1"/>
    <col min="8450" max="8450" width="13" style="31" bestFit="1" customWidth="1"/>
    <col min="8451" max="8451" width="17" style="31" bestFit="1" customWidth="1"/>
    <col min="8452" max="8452" width="17.88671875" style="31" customWidth="1"/>
    <col min="8453" max="8453" width="18" style="31" customWidth="1"/>
    <col min="8454" max="8704" width="9.109375" style="31"/>
    <col min="8705" max="8705" width="10.5546875" style="31" bestFit="1" customWidth="1"/>
    <col min="8706" max="8706" width="13" style="31" bestFit="1" customWidth="1"/>
    <col min="8707" max="8707" width="17" style="31" bestFit="1" customWidth="1"/>
    <col min="8708" max="8708" width="17.88671875" style="31" customWidth="1"/>
    <col min="8709" max="8709" width="18" style="31" customWidth="1"/>
    <col min="8710" max="8960" width="9.109375" style="31"/>
    <col min="8961" max="8961" width="10.5546875" style="31" bestFit="1" customWidth="1"/>
    <col min="8962" max="8962" width="13" style="31" bestFit="1" customWidth="1"/>
    <col min="8963" max="8963" width="17" style="31" bestFit="1" customWidth="1"/>
    <col min="8964" max="8964" width="17.88671875" style="31" customWidth="1"/>
    <col min="8965" max="8965" width="18" style="31" customWidth="1"/>
    <col min="8966" max="9216" width="9.109375" style="31"/>
    <col min="9217" max="9217" width="10.5546875" style="31" bestFit="1" customWidth="1"/>
    <col min="9218" max="9218" width="13" style="31" bestFit="1" customWidth="1"/>
    <col min="9219" max="9219" width="17" style="31" bestFit="1" customWidth="1"/>
    <col min="9220" max="9220" width="17.88671875" style="31" customWidth="1"/>
    <col min="9221" max="9221" width="18" style="31" customWidth="1"/>
    <col min="9222" max="9472" width="9.109375" style="31"/>
    <col min="9473" max="9473" width="10.5546875" style="31" bestFit="1" customWidth="1"/>
    <col min="9474" max="9474" width="13" style="31" bestFit="1" customWidth="1"/>
    <col min="9475" max="9475" width="17" style="31" bestFit="1" customWidth="1"/>
    <col min="9476" max="9476" width="17.88671875" style="31" customWidth="1"/>
    <col min="9477" max="9477" width="18" style="31" customWidth="1"/>
    <col min="9478" max="9728" width="9.109375" style="31"/>
    <col min="9729" max="9729" width="10.5546875" style="31" bestFit="1" customWidth="1"/>
    <col min="9730" max="9730" width="13" style="31" bestFit="1" customWidth="1"/>
    <col min="9731" max="9731" width="17" style="31" bestFit="1" customWidth="1"/>
    <col min="9732" max="9732" width="17.88671875" style="31" customWidth="1"/>
    <col min="9733" max="9733" width="18" style="31" customWidth="1"/>
    <col min="9734" max="9984" width="9.109375" style="31"/>
    <col min="9985" max="9985" width="10.5546875" style="31" bestFit="1" customWidth="1"/>
    <col min="9986" max="9986" width="13" style="31" bestFit="1" customWidth="1"/>
    <col min="9987" max="9987" width="17" style="31" bestFit="1" customWidth="1"/>
    <col min="9988" max="9988" width="17.88671875" style="31" customWidth="1"/>
    <col min="9989" max="9989" width="18" style="31" customWidth="1"/>
    <col min="9990" max="10240" width="9.109375" style="31"/>
    <col min="10241" max="10241" width="10.5546875" style="31" bestFit="1" customWidth="1"/>
    <col min="10242" max="10242" width="13" style="31" bestFit="1" customWidth="1"/>
    <col min="10243" max="10243" width="17" style="31" bestFit="1" customWidth="1"/>
    <col min="10244" max="10244" width="17.88671875" style="31" customWidth="1"/>
    <col min="10245" max="10245" width="18" style="31" customWidth="1"/>
    <col min="10246" max="10496" width="9.109375" style="31"/>
    <col min="10497" max="10497" width="10.5546875" style="31" bestFit="1" customWidth="1"/>
    <col min="10498" max="10498" width="13" style="31" bestFit="1" customWidth="1"/>
    <col min="10499" max="10499" width="17" style="31" bestFit="1" customWidth="1"/>
    <col min="10500" max="10500" width="17.88671875" style="31" customWidth="1"/>
    <col min="10501" max="10501" width="18" style="31" customWidth="1"/>
    <col min="10502" max="10752" width="9.109375" style="31"/>
    <col min="10753" max="10753" width="10.5546875" style="31" bestFit="1" customWidth="1"/>
    <col min="10754" max="10754" width="13" style="31" bestFit="1" customWidth="1"/>
    <col min="10755" max="10755" width="17" style="31" bestFit="1" customWidth="1"/>
    <col min="10756" max="10756" width="17.88671875" style="31" customWidth="1"/>
    <col min="10757" max="10757" width="18" style="31" customWidth="1"/>
    <col min="10758" max="11008" width="9.109375" style="31"/>
    <col min="11009" max="11009" width="10.5546875" style="31" bestFit="1" customWidth="1"/>
    <col min="11010" max="11010" width="13" style="31" bestFit="1" customWidth="1"/>
    <col min="11011" max="11011" width="17" style="31" bestFit="1" customWidth="1"/>
    <col min="11012" max="11012" width="17.88671875" style="31" customWidth="1"/>
    <col min="11013" max="11013" width="18" style="31" customWidth="1"/>
    <col min="11014" max="11264" width="9.109375" style="31"/>
    <col min="11265" max="11265" width="10.5546875" style="31" bestFit="1" customWidth="1"/>
    <col min="11266" max="11266" width="13" style="31" bestFit="1" customWidth="1"/>
    <col min="11267" max="11267" width="17" style="31" bestFit="1" customWidth="1"/>
    <col min="11268" max="11268" width="17.88671875" style="31" customWidth="1"/>
    <col min="11269" max="11269" width="18" style="31" customWidth="1"/>
    <col min="11270" max="11520" width="9.109375" style="31"/>
    <col min="11521" max="11521" width="10.5546875" style="31" bestFit="1" customWidth="1"/>
    <col min="11522" max="11522" width="13" style="31" bestFit="1" customWidth="1"/>
    <col min="11523" max="11523" width="17" style="31" bestFit="1" customWidth="1"/>
    <col min="11524" max="11524" width="17.88671875" style="31" customWidth="1"/>
    <col min="11525" max="11525" width="18" style="31" customWidth="1"/>
    <col min="11526" max="11776" width="9.109375" style="31"/>
    <col min="11777" max="11777" width="10.5546875" style="31" bestFit="1" customWidth="1"/>
    <col min="11778" max="11778" width="13" style="31" bestFit="1" customWidth="1"/>
    <col min="11779" max="11779" width="17" style="31" bestFit="1" customWidth="1"/>
    <col min="11780" max="11780" width="17.88671875" style="31" customWidth="1"/>
    <col min="11781" max="11781" width="18" style="31" customWidth="1"/>
    <col min="11782" max="12032" width="9.109375" style="31"/>
    <col min="12033" max="12033" width="10.5546875" style="31" bestFit="1" customWidth="1"/>
    <col min="12034" max="12034" width="13" style="31" bestFit="1" customWidth="1"/>
    <col min="12035" max="12035" width="17" style="31" bestFit="1" customWidth="1"/>
    <col min="12036" max="12036" width="17.88671875" style="31" customWidth="1"/>
    <col min="12037" max="12037" width="18" style="31" customWidth="1"/>
    <col min="12038" max="12288" width="9.109375" style="31"/>
    <col min="12289" max="12289" width="10.5546875" style="31" bestFit="1" customWidth="1"/>
    <col min="12290" max="12290" width="13" style="31" bestFit="1" customWidth="1"/>
    <col min="12291" max="12291" width="17" style="31" bestFit="1" customWidth="1"/>
    <col min="12292" max="12292" width="17.88671875" style="31" customWidth="1"/>
    <col min="12293" max="12293" width="18" style="31" customWidth="1"/>
    <col min="12294" max="12544" width="9.109375" style="31"/>
    <col min="12545" max="12545" width="10.5546875" style="31" bestFit="1" customWidth="1"/>
    <col min="12546" max="12546" width="13" style="31" bestFit="1" customWidth="1"/>
    <col min="12547" max="12547" width="17" style="31" bestFit="1" customWidth="1"/>
    <col min="12548" max="12548" width="17.88671875" style="31" customWidth="1"/>
    <col min="12549" max="12549" width="18" style="31" customWidth="1"/>
    <col min="12550" max="12800" width="9.109375" style="31"/>
    <col min="12801" max="12801" width="10.5546875" style="31" bestFit="1" customWidth="1"/>
    <col min="12802" max="12802" width="13" style="31" bestFit="1" customWidth="1"/>
    <col min="12803" max="12803" width="17" style="31" bestFit="1" customWidth="1"/>
    <col min="12804" max="12804" width="17.88671875" style="31" customWidth="1"/>
    <col min="12805" max="12805" width="18" style="31" customWidth="1"/>
    <col min="12806" max="13056" width="9.109375" style="31"/>
    <col min="13057" max="13057" width="10.5546875" style="31" bestFit="1" customWidth="1"/>
    <col min="13058" max="13058" width="13" style="31" bestFit="1" customWidth="1"/>
    <col min="13059" max="13059" width="17" style="31" bestFit="1" customWidth="1"/>
    <col min="13060" max="13060" width="17.88671875" style="31" customWidth="1"/>
    <col min="13061" max="13061" width="18" style="31" customWidth="1"/>
    <col min="13062" max="13312" width="9.109375" style="31"/>
    <col min="13313" max="13313" width="10.5546875" style="31" bestFit="1" customWidth="1"/>
    <col min="13314" max="13314" width="13" style="31" bestFit="1" customWidth="1"/>
    <col min="13315" max="13315" width="17" style="31" bestFit="1" customWidth="1"/>
    <col min="13316" max="13316" width="17.88671875" style="31" customWidth="1"/>
    <col min="13317" max="13317" width="18" style="31" customWidth="1"/>
    <col min="13318" max="13568" width="9.109375" style="31"/>
    <col min="13569" max="13569" width="10.5546875" style="31" bestFit="1" customWidth="1"/>
    <col min="13570" max="13570" width="13" style="31" bestFit="1" customWidth="1"/>
    <col min="13571" max="13571" width="17" style="31" bestFit="1" customWidth="1"/>
    <col min="13572" max="13572" width="17.88671875" style="31" customWidth="1"/>
    <col min="13573" max="13573" width="18" style="31" customWidth="1"/>
    <col min="13574" max="13824" width="9.109375" style="31"/>
    <col min="13825" max="13825" width="10.5546875" style="31" bestFit="1" customWidth="1"/>
    <col min="13826" max="13826" width="13" style="31" bestFit="1" customWidth="1"/>
    <col min="13827" max="13827" width="17" style="31" bestFit="1" customWidth="1"/>
    <col min="13828" max="13828" width="17.88671875" style="31" customWidth="1"/>
    <col min="13829" max="13829" width="18" style="31" customWidth="1"/>
    <col min="13830" max="14080" width="9.109375" style="31"/>
    <col min="14081" max="14081" width="10.5546875" style="31" bestFit="1" customWidth="1"/>
    <col min="14082" max="14082" width="13" style="31" bestFit="1" customWidth="1"/>
    <col min="14083" max="14083" width="17" style="31" bestFit="1" customWidth="1"/>
    <col min="14084" max="14084" width="17.88671875" style="31" customWidth="1"/>
    <col min="14085" max="14085" width="18" style="31" customWidth="1"/>
    <col min="14086" max="14336" width="9.109375" style="31"/>
    <col min="14337" max="14337" width="10.5546875" style="31" bestFit="1" customWidth="1"/>
    <col min="14338" max="14338" width="13" style="31" bestFit="1" customWidth="1"/>
    <col min="14339" max="14339" width="17" style="31" bestFit="1" customWidth="1"/>
    <col min="14340" max="14340" width="17.88671875" style="31" customWidth="1"/>
    <col min="14341" max="14341" width="18" style="31" customWidth="1"/>
    <col min="14342" max="14592" width="9.109375" style="31"/>
    <col min="14593" max="14593" width="10.5546875" style="31" bestFit="1" customWidth="1"/>
    <col min="14594" max="14594" width="13" style="31" bestFit="1" customWidth="1"/>
    <col min="14595" max="14595" width="17" style="31" bestFit="1" customWidth="1"/>
    <col min="14596" max="14596" width="17.88671875" style="31" customWidth="1"/>
    <col min="14597" max="14597" width="18" style="31" customWidth="1"/>
    <col min="14598" max="14848" width="9.109375" style="31"/>
    <col min="14849" max="14849" width="10.5546875" style="31" bestFit="1" customWidth="1"/>
    <col min="14850" max="14850" width="13" style="31" bestFit="1" customWidth="1"/>
    <col min="14851" max="14851" width="17" style="31" bestFit="1" customWidth="1"/>
    <col min="14852" max="14852" width="17.88671875" style="31" customWidth="1"/>
    <col min="14853" max="14853" width="18" style="31" customWidth="1"/>
    <col min="14854" max="15104" width="9.109375" style="31"/>
    <col min="15105" max="15105" width="10.5546875" style="31" bestFit="1" customWidth="1"/>
    <col min="15106" max="15106" width="13" style="31" bestFit="1" customWidth="1"/>
    <col min="15107" max="15107" width="17" style="31" bestFit="1" customWidth="1"/>
    <col min="15108" max="15108" width="17.88671875" style="31" customWidth="1"/>
    <col min="15109" max="15109" width="18" style="31" customWidth="1"/>
    <col min="15110" max="15360" width="9.109375" style="31"/>
    <col min="15361" max="15361" width="10.5546875" style="31" bestFit="1" customWidth="1"/>
    <col min="15362" max="15362" width="13" style="31" bestFit="1" customWidth="1"/>
    <col min="15363" max="15363" width="17" style="31" bestFit="1" customWidth="1"/>
    <col min="15364" max="15364" width="17.88671875" style="31" customWidth="1"/>
    <col min="15365" max="15365" width="18" style="31" customWidth="1"/>
    <col min="15366" max="15616" width="9.109375" style="31"/>
    <col min="15617" max="15617" width="10.5546875" style="31" bestFit="1" customWidth="1"/>
    <col min="15618" max="15618" width="13" style="31" bestFit="1" customWidth="1"/>
    <col min="15619" max="15619" width="17" style="31" bestFit="1" customWidth="1"/>
    <col min="15620" max="15620" width="17.88671875" style="31" customWidth="1"/>
    <col min="15621" max="15621" width="18" style="31" customWidth="1"/>
    <col min="15622" max="15872" width="9.109375" style="31"/>
    <col min="15873" max="15873" width="10.5546875" style="31" bestFit="1" customWidth="1"/>
    <col min="15874" max="15874" width="13" style="31" bestFit="1" customWidth="1"/>
    <col min="15875" max="15875" width="17" style="31" bestFit="1" customWidth="1"/>
    <col min="15876" max="15876" width="17.88671875" style="31" customWidth="1"/>
    <col min="15877" max="15877" width="18" style="31" customWidth="1"/>
    <col min="15878" max="16128" width="9.109375" style="31"/>
    <col min="16129" max="16129" width="10.5546875" style="31" bestFit="1" customWidth="1"/>
    <col min="16130" max="16130" width="13" style="31" bestFit="1" customWidth="1"/>
    <col min="16131" max="16131" width="17" style="31" bestFit="1" customWidth="1"/>
    <col min="16132" max="16132" width="17.88671875" style="31" customWidth="1"/>
    <col min="16133" max="16133" width="18" style="31" customWidth="1"/>
    <col min="16134" max="16384" width="9.109375" style="31"/>
  </cols>
  <sheetData>
    <row r="1" spans="1:10" ht="15" x14ac:dyDescent="0.25">
      <c r="A1" s="30" t="s">
        <v>35</v>
      </c>
      <c r="B1" s="30" t="s">
        <v>36</v>
      </c>
      <c r="C1" s="30" t="s">
        <v>37</v>
      </c>
      <c r="D1" s="30" t="s">
        <v>38</v>
      </c>
      <c r="E1" s="30" t="s">
        <v>39</v>
      </c>
    </row>
    <row r="2" spans="1:10" ht="15" x14ac:dyDescent="0.25">
      <c r="A2" s="32" t="s">
        <v>40</v>
      </c>
      <c r="B2" s="32" t="s">
        <v>41</v>
      </c>
      <c r="C2" s="33">
        <v>6100</v>
      </c>
      <c r="D2" s="34">
        <f t="shared" ref="D2:D33" si="0">C2*22%</f>
        <v>1342</v>
      </c>
      <c r="E2" s="34">
        <f t="shared" ref="E2:E33" si="1">C2+D2</f>
        <v>7442</v>
      </c>
    </row>
    <row r="3" spans="1:10" ht="15" x14ac:dyDescent="0.25">
      <c r="A3" s="32" t="s">
        <v>42</v>
      </c>
      <c r="B3" s="32" t="s">
        <v>43</v>
      </c>
      <c r="C3" s="33">
        <v>6400</v>
      </c>
      <c r="D3" s="34">
        <f t="shared" si="0"/>
        <v>1408</v>
      </c>
      <c r="E3" s="34">
        <f t="shared" si="1"/>
        <v>7808</v>
      </c>
    </row>
    <row r="4" spans="1:10" ht="15" x14ac:dyDescent="0.25">
      <c r="A4" s="32" t="s">
        <v>44</v>
      </c>
      <c r="B4" s="32" t="s">
        <v>43</v>
      </c>
      <c r="C4" s="33">
        <v>7600</v>
      </c>
      <c r="D4" s="34">
        <f t="shared" si="0"/>
        <v>1672</v>
      </c>
      <c r="E4" s="34">
        <f t="shared" si="1"/>
        <v>9272</v>
      </c>
    </row>
    <row r="5" spans="1:10" ht="15.75" customHeight="1" x14ac:dyDescent="0.25">
      <c r="A5" s="32" t="s">
        <v>45</v>
      </c>
      <c r="B5" s="32" t="s">
        <v>46</v>
      </c>
      <c r="C5" s="33">
        <v>7100</v>
      </c>
      <c r="D5" s="34">
        <f t="shared" si="0"/>
        <v>1562</v>
      </c>
      <c r="E5" s="34">
        <f t="shared" si="1"/>
        <v>8662</v>
      </c>
      <c r="H5" s="58" t="s">
        <v>47</v>
      </c>
      <c r="J5" s="37"/>
    </row>
    <row r="6" spans="1:10" ht="15" customHeight="1" x14ac:dyDescent="0.25">
      <c r="A6" s="32" t="s">
        <v>48</v>
      </c>
      <c r="B6" s="32" t="s">
        <v>49</v>
      </c>
      <c r="C6" s="33">
        <v>5000</v>
      </c>
      <c r="D6" s="34">
        <f t="shared" si="0"/>
        <v>1100</v>
      </c>
      <c r="E6" s="34">
        <f t="shared" si="1"/>
        <v>6100</v>
      </c>
      <c r="H6" s="59"/>
    </row>
    <row r="7" spans="1:10" ht="15" x14ac:dyDescent="0.25">
      <c r="A7" s="32" t="s">
        <v>50</v>
      </c>
      <c r="B7" s="32" t="s">
        <v>51</v>
      </c>
      <c r="C7" s="33">
        <v>7600</v>
      </c>
      <c r="D7" s="34">
        <f t="shared" si="0"/>
        <v>1672</v>
      </c>
      <c r="E7" s="34">
        <f t="shared" si="1"/>
        <v>9272</v>
      </c>
      <c r="H7" s="59"/>
    </row>
    <row r="8" spans="1:10" ht="15" x14ac:dyDescent="0.25">
      <c r="A8" s="32" t="s">
        <v>52</v>
      </c>
      <c r="B8" s="32" t="s">
        <v>53</v>
      </c>
      <c r="C8" s="33">
        <v>12400</v>
      </c>
      <c r="D8" s="34">
        <f t="shared" si="0"/>
        <v>2728</v>
      </c>
      <c r="E8" s="34">
        <f t="shared" si="1"/>
        <v>15128</v>
      </c>
      <c r="H8" s="60"/>
    </row>
    <row r="9" spans="1:10" ht="15" x14ac:dyDescent="0.25">
      <c r="A9" s="32" t="s">
        <v>54</v>
      </c>
      <c r="B9" s="32" t="s">
        <v>55</v>
      </c>
      <c r="C9" s="33">
        <v>6500</v>
      </c>
      <c r="D9" s="34">
        <f t="shared" si="0"/>
        <v>1430</v>
      </c>
      <c r="E9" s="34">
        <f t="shared" si="1"/>
        <v>7930</v>
      </c>
    </row>
    <row r="10" spans="1:10" ht="15" customHeight="1" x14ac:dyDescent="0.25">
      <c r="A10" s="32" t="s">
        <v>56</v>
      </c>
      <c r="B10" s="32" t="s">
        <v>57</v>
      </c>
      <c r="C10" s="33">
        <v>7300</v>
      </c>
      <c r="D10" s="34">
        <f t="shared" si="0"/>
        <v>1606</v>
      </c>
      <c r="E10" s="34">
        <f t="shared" si="1"/>
        <v>8906</v>
      </c>
      <c r="H10" s="58" t="s">
        <v>58</v>
      </c>
      <c r="J10" s="37"/>
    </row>
    <row r="11" spans="1:10" ht="15" x14ac:dyDescent="0.25">
      <c r="A11" s="32" t="s">
        <v>59</v>
      </c>
      <c r="B11" s="32" t="s">
        <v>60</v>
      </c>
      <c r="C11" s="33">
        <v>4300</v>
      </c>
      <c r="D11" s="34">
        <f t="shared" si="0"/>
        <v>946</v>
      </c>
      <c r="E11" s="34">
        <f t="shared" si="1"/>
        <v>5246</v>
      </c>
      <c r="H11" s="59"/>
    </row>
    <row r="12" spans="1:10" ht="18.75" customHeight="1" x14ac:dyDescent="0.25">
      <c r="A12" s="32" t="s">
        <v>50</v>
      </c>
      <c r="B12" s="32" t="s">
        <v>61</v>
      </c>
      <c r="C12" s="33">
        <v>3400</v>
      </c>
      <c r="D12" s="34">
        <f t="shared" si="0"/>
        <v>748</v>
      </c>
      <c r="E12" s="34">
        <f t="shared" si="1"/>
        <v>4148</v>
      </c>
      <c r="H12" s="59"/>
    </row>
    <row r="13" spans="1:10" ht="15" x14ac:dyDescent="0.25">
      <c r="A13" s="32" t="s">
        <v>48</v>
      </c>
      <c r="B13" s="32" t="s">
        <v>62</v>
      </c>
      <c r="C13" s="33">
        <v>5500</v>
      </c>
      <c r="D13" s="34">
        <f t="shared" si="0"/>
        <v>1210</v>
      </c>
      <c r="E13" s="34">
        <f t="shared" si="1"/>
        <v>6710</v>
      </c>
      <c r="H13" s="60"/>
    </row>
    <row r="14" spans="1:10" ht="15" x14ac:dyDescent="0.25">
      <c r="A14" s="32" t="s">
        <v>63</v>
      </c>
      <c r="B14" s="32" t="s">
        <v>64</v>
      </c>
      <c r="C14" s="33">
        <v>3900</v>
      </c>
      <c r="D14" s="34">
        <f t="shared" si="0"/>
        <v>858</v>
      </c>
      <c r="E14" s="34">
        <f t="shared" si="1"/>
        <v>4758</v>
      </c>
    </row>
    <row r="15" spans="1:10" ht="15" x14ac:dyDescent="0.25">
      <c r="A15" s="32" t="s">
        <v>48</v>
      </c>
      <c r="B15" s="32" t="s">
        <v>65</v>
      </c>
      <c r="C15" s="33">
        <v>4120</v>
      </c>
      <c r="D15" s="34">
        <f t="shared" si="0"/>
        <v>906.4</v>
      </c>
      <c r="E15" s="34">
        <f t="shared" si="1"/>
        <v>5026.3999999999996</v>
      </c>
    </row>
    <row r="16" spans="1:10" ht="17.399999999999999" x14ac:dyDescent="0.25">
      <c r="A16" s="32" t="s">
        <v>66</v>
      </c>
      <c r="B16" s="32" t="s">
        <v>67</v>
      </c>
      <c r="C16" s="33">
        <v>3000</v>
      </c>
      <c r="D16" s="34">
        <f t="shared" si="0"/>
        <v>660</v>
      </c>
      <c r="E16" s="34">
        <f t="shared" si="1"/>
        <v>3660</v>
      </c>
      <c r="H16" s="58" t="s">
        <v>68</v>
      </c>
      <c r="J16" s="37"/>
    </row>
    <row r="17" spans="1:10" ht="15" x14ac:dyDescent="0.25">
      <c r="A17" s="32" t="s">
        <v>69</v>
      </c>
      <c r="B17" s="32" t="s">
        <v>67</v>
      </c>
      <c r="C17" s="33">
        <v>9600</v>
      </c>
      <c r="D17" s="34">
        <f t="shared" si="0"/>
        <v>2112</v>
      </c>
      <c r="E17" s="34">
        <f t="shared" si="1"/>
        <v>11712</v>
      </c>
      <c r="H17" s="59"/>
    </row>
    <row r="18" spans="1:10" ht="15" x14ac:dyDescent="0.25">
      <c r="A18" s="32" t="s">
        <v>70</v>
      </c>
      <c r="B18" s="32" t="s">
        <v>67</v>
      </c>
      <c r="C18" s="33">
        <v>4200</v>
      </c>
      <c r="D18" s="34">
        <f t="shared" si="0"/>
        <v>924</v>
      </c>
      <c r="E18" s="34">
        <f t="shared" si="1"/>
        <v>5124</v>
      </c>
      <c r="H18" s="59"/>
    </row>
    <row r="19" spans="1:10" ht="15" x14ac:dyDescent="0.25">
      <c r="A19" s="32" t="s">
        <v>71</v>
      </c>
      <c r="B19" s="32" t="s">
        <v>72</v>
      </c>
      <c r="C19" s="33">
        <v>7500</v>
      </c>
      <c r="D19" s="34">
        <f t="shared" si="0"/>
        <v>1650</v>
      </c>
      <c r="E19" s="34">
        <f t="shared" si="1"/>
        <v>9150</v>
      </c>
      <c r="H19" s="60"/>
    </row>
    <row r="20" spans="1:10" ht="15" x14ac:dyDescent="0.25">
      <c r="A20" s="32" t="s">
        <v>73</v>
      </c>
      <c r="B20" s="32" t="s">
        <v>74</v>
      </c>
      <c r="C20" s="33">
        <v>8200</v>
      </c>
      <c r="D20" s="34">
        <f t="shared" si="0"/>
        <v>1804</v>
      </c>
      <c r="E20" s="34">
        <f t="shared" si="1"/>
        <v>10004</v>
      </c>
    </row>
    <row r="21" spans="1:10" ht="15" x14ac:dyDescent="0.25">
      <c r="A21" s="32" t="s">
        <v>75</v>
      </c>
      <c r="B21" s="32" t="s">
        <v>76</v>
      </c>
      <c r="C21" s="33">
        <v>6400</v>
      </c>
      <c r="D21" s="34">
        <f t="shared" si="0"/>
        <v>1408</v>
      </c>
      <c r="E21" s="34">
        <f t="shared" si="1"/>
        <v>7808</v>
      </c>
    </row>
    <row r="22" spans="1:10" ht="17.399999999999999" x14ac:dyDescent="0.25">
      <c r="A22" s="32" t="s">
        <v>77</v>
      </c>
      <c r="B22" s="32" t="s">
        <v>78</v>
      </c>
      <c r="C22" s="33">
        <v>4300</v>
      </c>
      <c r="D22" s="34">
        <f t="shared" si="0"/>
        <v>946</v>
      </c>
      <c r="E22" s="34">
        <f t="shared" si="1"/>
        <v>5246</v>
      </c>
      <c r="H22" s="58" t="s">
        <v>79</v>
      </c>
      <c r="J22" s="37"/>
    </row>
    <row r="23" spans="1:10" ht="15" x14ac:dyDescent="0.25">
      <c r="A23" s="32" t="s">
        <v>80</v>
      </c>
      <c r="B23" s="32" t="s">
        <v>81</v>
      </c>
      <c r="C23" s="33">
        <v>5120</v>
      </c>
      <c r="D23" s="34">
        <f t="shared" si="0"/>
        <v>1126.4000000000001</v>
      </c>
      <c r="E23" s="34">
        <f t="shared" si="1"/>
        <v>6246.4</v>
      </c>
      <c r="H23" s="59"/>
    </row>
    <row r="24" spans="1:10" ht="15" x14ac:dyDescent="0.25">
      <c r="A24" s="32" t="s">
        <v>82</v>
      </c>
      <c r="B24" s="32" t="s">
        <v>83</v>
      </c>
      <c r="C24" s="33">
        <v>5300</v>
      </c>
      <c r="D24" s="34">
        <f t="shared" si="0"/>
        <v>1166</v>
      </c>
      <c r="E24" s="34">
        <f t="shared" si="1"/>
        <v>6466</v>
      </c>
      <c r="H24" s="59"/>
    </row>
    <row r="25" spans="1:10" ht="15" x14ac:dyDescent="0.25">
      <c r="A25" s="32" t="s">
        <v>84</v>
      </c>
      <c r="B25" s="32" t="s">
        <v>83</v>
      </c>
      <c r="C25" s="33">
        <v>3700</v>
      </c>
      <c r="D25" s="34">
        <f t="shared" si="0"/>
        <v>814</v>
      </c>
      <c r="E25" s="34">
        <f t="shared" si="1"/>
        <v>4514</v>
      </c>
      <c r="H25" s="60"/>
    </row>
    <row r="26" spans="1:10" ht="15" x14ac:dyDescent="0.25">
      <c r="A26" s="32" t="s">
        <v>85</v>
      </c>
      <c r="B26" s="32" t="s">
        <v>83</v>
      </c>
      <c r="C26" s="33">
        <v>8300</v>
      </c>
      <c r="D26" s="34">
        <f t="shared" si="0"/>
        <v>1826</v>
      </c>
      <c r="E26" s="34">
        <f t="shared" si="1"/>
        <v>10126</v>
      </c>
    </row>
    <row r="27" spans="1:10" ht="15" x14ac:dyDescent="0.25">
      <c r="A27" s="32" t="s">
        <v>86</v>
      </c>
      <c r="B27" s="32" t="s">
        <v>87</v>
      </c>
      <c r="C27" s="33">
        <v>9000</v>
      </c>
      <c r="D27" s="34">
        <f t="shared" si="0"/>
        <v>1980</v>
      </c>
      <c r="E27" s="34">
        <f t="shared" si="1"/>
        <v>10980</v>
      </c>
    </row>
    <row r="28" spans="1:10" ht="17.399999999999999" x14ac:dyDescent="0.25">
      <c r="A28" s="32" t="s">
        <v>88</v>
      </c>
      <c r="B28" s="32" t="s">
        <v>89</v>
      </c>
      <c r="C28" s="33">
        <v>2880</v>
      </c>
      <c r="D28" s="34">
        <f t="shared" si="0"/>
        <v>633.6</v>
      </c>
      <c r="E28" s="34">
        <f t="shared" si="1"/>
        <v>3513.6</v>
      </c>
      <c r="H28" s="58" t="s">
        <v>90</v>
      </c>
      <c r="J28" s="37"/>
    </row>
    <row r="29" spans="1:10" ht="15" x14ac:dyDescent="0.25">
      <c r="A29" s="32" t="s">
        <v>91</v>
      </c>
      <c r="B29" s="32" t="s">
        <v>92</v>
      </c>
      <c r="C29" s="33">
        <v>5400</v>
      </c>
      <c r="D29" s="34">
        <f t="shared" si="0"/>
        <v>1188</v>
      </c>
      <c r="E29" s="34">
        <f t="shared" si="1"/>
        <v>6588</v>
      </c>
      <c r="H29" s="59"/>
    </row>
    <row r="30" spans="1:10" ht="15" x14ac:dyDescent="0.25">
      <c r="A30" s="32" t="s">
        <v>88</v>
      </c>
      <c r="B30" s="32" t="s">
        <v>92</v>
      </c>
      <c r="C30" s="33">
        <v>6240</v>
      </c>
      <c r="D30" s="34">
        <f t="shared" si="0"/>
        <v>1372.8</v>
      </c>
      <c r="E30" s="34">
        <f t="shared" si="1"/>
        <v>7612.8</v>
      </c>
      <c r="H30" s="59"/>
    </row>
    <row r="31" spans="1:10" ht="15" x14ac:dyDescent="0.25">
      <c r="A31" s="32" t="s">
        <v>93</v>
      </c>
      <c r="B31" s="32" t="s">
        <v>92</v>
      </c>
      <c r="C31" s="33">
        <v>5500</v>
      </c>
      <c r="D31" s="34">
        <f t="shared" si="0"/>
        <v>1210</v>
      </c>
      <c r="E31" s="34">
        <f t="shared" si="1"/>
        <v>6710</v>
      </c>
      <c r="H31" s="60"/>
    </row>
    <row r="32" spans="1:10" ht="15" x14ac:dyDescent="0.25">
      <c r="A32" s="32" t="s">
        <v>94</v>
      </c>
      <c r="B32" s="32" t="s">
        <v>95</v>
      </c>
      <c r="C32" s="33">
        <v>4200</v>
      </c>
      <c r="D32" s="34">
        <f t="shared" si="0"/>
        <v>924</v>
      </c>
      <c r="E32" s="34">
        <f t="shared" si="1"/>
        <v>5124</v>
      </c>
    </row>
    <row r="33" spans="1:10" ht="15" x14ac:dyDescent="0.25">
      <c r="A33" s="32" t="s">
        <v>96</v>
      </c>
      <c r="B33" s="32" t="s">
        <v>97</v>
      </c>
      <c r="C33" s="33">
        <v>8200</v>
      </c>
      <c r="D33" s="34">
        <f t="shared" si="0"/>
        <v>1804</v>
      </c>
      <c r="E33" s="34">
        <f t="shared" si="1"/>
        <v>10004</v>
      </c>
    </row>
    <row r="34" spans="1:10" ht="17.399999999999999" x14ac:dyDescent="0.25">
      <c r="A34" s="32" t="s">
        <v>98</v>
      </c>
      <c r="B34" s="32" t="s">
        <v>99</v>
      </c>
      <c r="C34" s="33">
        <v>5000</v>
      </c>
      <c r="D34" s="34">
        <f t="shared" ref="D34:D65" si="2">C34*22%</f>
        <v>1100</v>
      </c>
      <c r="E34" s="34">
        <f t="shared" ref="E34:E65" si="3">C34+D34</f>
        <v>6100</v>
      </c>
      <c r="H34" s="58" t="s">
        <v>100</v>
      </c>
      <c r="J34" s="37"/>
    </row>
    <row r="35" spans="1:10" ht="15" x14ac:dyDescent="0.25">
      <c r="A35" s="32" t="s">
        <v>86</v>
      </c>
      <c r="B35" s="32" t="s">
        <v>101</v>
      </c>
      <c r="C35" s="33">
        <v>3600</v>
      </c>
      <c r="D35" s="34">
        <f t="shared" si="2"/>
        <v>792</v>
      </c>
      <c r="E35" s="34">
        <f t="shared" si="3"/>
        <v>4392</v>
      </c>
      <c r="H35" s="59"/>
    </row>
    <row r="36" spans="1:10" ht="15" x14ac:dyDescent="0.25">
      <c r="A36" s="32" t="s">
        <v>102</v>
      </c>
      <c r="B36" s="32" t="s">
        <v>103</v>
      </c>
      <c r="C36" s="33">
        <v>10400</v>
      </c>
      <c r="D36" s="34">
        <f t="shared" si="2"/>
        <v>2288</v>
      </c>
      <c r="E36" s="34">
        <f t="shared" si="3"/>
        <v>12688</v>
      </c>
      <c r="H36" s="59"/>
    </row>
    <row r="37" spans="1:10" ht="15" x14ac:dyDescent="0.25">
      <c r="A37" s="32" t="s">
        <v>104</v>
      </c>
      <c r="B37" s="32" t="s">
        <v>103</v>
      </c>
      <c r="C37" s="33">
        <v>4800</v>
      </c>
      <c r="D37" s="34">
        <f t="shared" si="2"/>
        <v>1056</v>
      </c>
      <c r="E37" s="34">
        <f t="shared" si="3"/>
        <v>5856</v>
      </c>
      <c r="H37" s="60"/>
    </row>
    <row r="38" spans="1:10" ht="15" x14ac:dyDescent="0.25">
      <c r="A38" s="32" t="s">
        <v>88</v>
      </c>
      <c r="B38" s="32" t="s">
        <v>103</v>
      </c>
      <c r="C38" s="33">
        <v>3300</v>
      </c>
      <c r="D38" s="34">
        <f t="shared" si="2"/>
        <v>726</v>
      </c>
      <c r="E38" s="34">
        <f t="shared" si="3"/>
        <v>4026</v>
      </c>
    </row>
    <row r="39" spans="1:10" ht="15" x14ac:dyDescent="0.25">
      <c r="A39" s="32" t="s">
        <v>105</v>
      </c>
      <c r="B39" s="32" t="s">
        <v>103</v>
      </c>
      <c r="C39" s="33">
        <v>5300</v>
      </c>
      <c r="D39" s="34">
        <f t="shared" si="2"/>
        <v>1166</v>
      </c>
      <c r="E39" s="34">
        <f t="shared" si="3"/>
        <v>6466</v>
      </c>
    </row>
    <row r="40" spans="1:10" ht="17.399999999999999" x14ac:dyDescent="0.25">
      <c r="A40" s="32" t="s">
        <v>98</v>
      </c>
      <c r="B40" s="32" t="s">
        <v>106</v>
      </c>
      <c r="C40" s="33">
        <v>4400</v>
      </c>
      <c r="D40" s="34">
        <f t="shared" si="2"/>
        <v>968</v>
      </c>
      <c r="E40" s="34">
        <f t="shared" si="3"/>
        <v>5368</v>
      </c>
      <c r="H40" s="58" t="s">
        <v>107</v>
      </c>
      <c r="J40" s="37"/>
    </row>
    <row r="41" spans="1:10" ht="15" x14ac:dyDescent="0.25">
      <c r="A41" s="32" t="s">
        <v>108</v>
      </c>
      <c r="B41" s="32" t="s">
        <v>109</v>
      </c>
      <c r="C41" s="33">
        <v>3800</v>
      </c>
      <c r="D41" s="34">
        <f t="shared" si="2"/>
        <v>836</v>
      </c>
      <c r="E41" s="34">
        <f t="shared" si="3"/>
        <v>4636</v>
      </c>
      <c r="H41" s="59"/>
    </row>
    <row r="42" spans="1:10" ht="15" x14ac:dyDescent="0.25">
      <c r="A42" s="32" t="s">
        <v>88</v>
      </c>
      <c r="B42" s="32" t="s">
        <v>110</v>
      </c>
      <c r="C42" s="33">
        <v>4200</v>
      </c>
      <c r="D42" s="34">
        <f t="shared" si="2"/>
        <v>924</v>
      </c>
      <c r="E42" s="34">
        <f t="shared" si="3"/>
        <v>5124</v>
      </c>
      <c r="H42" s="59"/>
    </row>
    <row r="43" spans="1:10" ht="15" x14ac:dyDescent="0.25">
      <c r="A43" s="32" t="s">
        <v>111</v>
      </c>
      <c r="B43" s="32" t="s">
        <v>112</v>
      </c>
      <c r="C43" s="33">
        <v>3720</v>
      </c>
      <c r="D43" s="34">
        <f t="shared" si="2"/>
        <v>818.4</v>
      </c>
      <c r="E43" s="34">
        <f t="shared" si="3"/>
        <v>4538.3999999999996</v>
      </c>
      <c r="H43" s="60"/>
    </row>
    <row r="44" spans="1:10" ht="15" x14ac:dyDescent="0.25">
      <c r="A44" s="32" t="s">
        <v>113</v>
      </c>
      <c r="B44" s="32" t="s">
        <v>112</v>
      </c>
      <c r="C44" s="33">
        <v>4900</v>
      </c>
      <c r="D44" s="34">
        <f t="shared" si="2"/>
        <v>1078</v>
      </c>
      <c r="E44" s="34">
        <f t="shared" si="3"/>
        <v>5978</v>
      </c>
    </row>
    <row r="45" spans="1:10" ht="15" x14ac:dyDescent="0.25">
      <c r="A45" s="32" t="s">
        <v>114</v>
      </c>
      <c r="B45" s="32" t="s">
        <v>115</v>
      </c>
      <c r="C45" s="33">
        <v>3700</v>
      </c>
      <c r="D45" s="34">
        <f t="shared" si="2"/>
        <v>814</v>
      </c>
      <c r="E45" s="34">
        <f t="shared" si="3"/>
        <v>4514</v>
      </c>
    </row>
    <row r="46" spans="1:10" ht="17.399999999999999" x14ac:dyDescent="0.25">
      <c r="A46" s="32" t="s">
        <v>116</v>
      </c>
      <c r="B46" s="32" t="s">
        <v>115</v>
      </c>
      <c r="C46" s="33">
        <v>4200</v>
      </c>
      <c r="D46" s="34">
        <f t="shared" si="2"/>
        <v>924</v>
      </c>
      <c r="E46" s="34">
        <f t="shared" si="3"/>
        <v>5124</v>
      </c>
      <c r="H46" s="58" t="s">
        <v>117</v>
      </c>
      <c r="J46" s="37"/>
    </row>
    <row r="47" spans="1:10" ht="15" x14ac:dyDescent="0.25">
      <c r="A47" s="32" t="s">
        <v>108</v>
      </c>
      <c r="B47" s="32" t="s">
        <v>115</v>
      </c>
      <c r="C47" s="33">
        <v>6000</v>
      </c>
      <c r="D47" s="34">
        <f t="shared" si="2"/>
        <v>1320</v>
      </c>
      <c r="E47" s="34">
        <f t="shared" si="3"/>
        <v>7320</v>
      </c>
      <c r="H47" s="59"/>
    </row>
    <row r="48" spans="1:10" ht="15" x14ac:dyDescent="0.25">
      <c r="A48" s="32" t="s">
        <v>118</v>
      </c>
      <c r="B48" s="32" t="s">
        <v>119</v>
      </c>
      <c r="C48" s="33">
        <v>6400</v>
      </c>
      <c r="D48" s="34">
        <f t="shared" si="2"/>
        <v>1408</v>
      </c>
      <c r="E48" s="34">
        <f t="shared" si="3"/>
        <v>7808</v>
      </c>
      <c r="H48" s="59"/>
    </row>
    <row r="49" spans="1:10" ht="15" x14ac:dyDescent="0.25">
      <c r="A49" s="32" t="s">
        <v>120</v>
      </c>
      <c r="B49" s="32" t="s">
        <v>121</v>
      </c>
      <c r="C49" s="33">
        <v>4800</v>
      </c>
      <c r="D49" s="34">
        <f t="shared" si="2"/>
        <v>1056</v>
      </c>
      <c r="E49" s="34">
        <f t="shared" si="3"/>
        <v>5856</v>
      </c>
      <c r="H49" s="60"/>
    </row>
    <row r="50" spans="1:10" ht="15" x14ac:dyDescent="0.25">
      <c r="A50" s="32" t="s">
        <v>122</v>
      </c>
      <c r="B50" s="32" t="s">
        <v>123</v>
      </c>
      <c r="C50" s="33">
        <v>3700</v>
      </c>
      <c r="D50" s="34">
        <f t="shared" si="2"/>
        <v>814</v>
      </c>
      <c r="E50" s="34">
        <f t="shared" si="3"/>
        <v>4514</v>
      </c>
    </row>
    <row r="51" spans="1:10" ht="15" x14ac:dyDescent="0.25">
      <c r="A51" s="32" t="s">
        <v>124</v>
      </c>
      <c r="B51" s="32" t="s">
        <v>125</v>
      </c>
      <c r="C51" s="33">
        <v>5080</v>
      </c>
      <c r="D51" s="34">
        <f t="shared" si="2"/>
        <v>1117.5999999999999</v>
      </c>
      <c r="E51" s="34">
        <f t="shared" si="3"/>
        <v>6197.6</v>
      </c>
    </row>
    <row r="52" spans="1:10" ht="17.399999999999999" x14ac:dyDescent="0.25">
      <c r="A52" s="32" t="s">
        <v>126</v>
      </c>
      <c r="B52" s="32" t="s">
        <v>125</v>
      </c>
      <c r="C52" s="33">
        <v>10200</v>
      </c>
      <c r="D52" s="34">
        <f t="shared" si="2"/>
        <v>2244</v>
      </c>
      <c r="E52" s="34">
        <f t="shared" si="3"/>
        <v>12444</v>
      </c>
      <c r="H52" s="58" t="s">
        <v>127</v>
      </c>
      <c r="J52" s="37"/>
    </row>
    <row r="53" spans="1:10" ht="15" x14ac:dyDescent="0.25">
      <c r="A53" s="32" t="s">
        <v>88</v>
      </c>
      <c r="B53" s="32" t="s">
        <v>128</v>
      </c>
      <c r="C53" s="33">
        <v>7200</v>
      </c>
      <c r="D53" s="34">
        <f t="shared" si="2"/>
        <v>1584</v>
      </c>
      <c r="E53" s="34">
        <f t="shared" si="3"/>
        <v>8784</v>
      </c>
      <c r="H53" s="59"/>
    </row>
    <row r="54" spans="1:10" ht="15" x14ac:dyDescent="0.25">
      <c r="A54" s="32" t="s">
        <v>129</v>
      </c>
      <c r="B54" s="32" t="s">
        <v>130</v>
      </c>
      <c r="C54" s="33">
        <v>7040</v>
      </c>
      <c r="D54" s="34">
        <f t="shared" si="2"/>
        <v>1548.8</v>
      </c>
      <c r="E54" s="34">
        <f t="shared" si="3"/>
        <v>8588.7999999999993</v>
      </c>
      <c r="H54" s="59"/>
    </row>
    <row r="55" spans="1:10" ht="15" x14ac:dyDescent="0.25">
      <c r="A55" s="32" t="s">
        <v>102</v>
      </c>
      <c r="B55" s="32" t="s">
        <v>131</v>
      </c>
      <c r="C55" s="33">
        <v>6500</v>
      </c>
      <c r="D55" s="34">
        <f t="shared" si="2"/>
        <v>1430</v>
      </c>
      <c r="E55" s="34">
        <f t="shared" si="3"/>
        <v>7930</v>
      </c>
      <c r="H55" s="60"/>
    </row>
    <row r="56" spans="1:10" ht="15" x14ac:dyDescent="0.25">
      <c r="A56" s="32" t="s">
        <v>132</v>
      </c>
      <c r="B56" s="32" t="s">
        <v>133</v>
      </c>
      <c r="C56" s="33">
        <v>3680</v>
      </c>
      <c r="D56" s="34">
        <f t="shared" si="2"/>
        <v>809.6</v>
      </c>
      <c r="E56" s="34">
        <f t="shared" si="3"/>
        <v>4489.6000000000004</v>
      </c>
    </row>
    <row r="57" spans="1:10" ht="15" x14ac:dyDescent="0.25">
      <c r="A57" s="32" t="s">
        <v>134</v>
      </c>
      <c r="B57" s="32" t="s">
        <v>135</v>
      </c>
      <c r="C57" s="33">
        <v>6000</v>
      </c>
      <c r="D57" s="34">
        <f t="shared" si="2"/>
        <v>1320</v>
      </c>
      <c r="E57" s="34">
        <f t="shared" si="3"/>
        <v>7320</v>
      </c>
    </row>
    <row r="58" spans="1:10" ht="15" customHeight="1" x14ac:dyDescent="0.25">
      <c r="A58" s="32" t="s">
        <v>88</v>
      </c>
      <c r="B58" s="32" t="s">
        <v>136</v>
      </c>
      <c r="C58" s="33">
        <v>4400</v>
      </c>
      <c r="D58" s="34">
        <f t="shared" si="2"/>
        <v>968</v>
      </c>
      <c r="E58" s="34">
        <f t="shared" si="3"/>
        <v>5368</v>
      </c>
      <c r="H58" s="55" t="s">
        <v>137</v>
      </c>
      <c r="J58" s="30" t="s">
        <v>138</v>
      </c>
    </row>
    <row r="59" spans="1:10" ht="18" customHeight="1" x14ac:dyDescent="0.25">
      <c r="A59" s="32" t="s">
        <v>139</v>
      </c>
      <c r="B59" s="32" t="s">
        <v>140</v>
      </c>
      <c r="C59" s="33">
        <v>8500</v>
      </c>
      <c r="D59" s="34">
        <f t="shared" si="2"/>
        <v>1870</v>
      </c>
      <c r="E59" s="34">
        <f t="shared" si="3"/>
        <v>10370</v>
      </c>
      <c r="H59" s="56"/>
      <c r="J59" s="38"/>
    </row>
    <row r="60" spans="1:10" ht="18" customHeight="1" x14ac:dyDescent="0.25">
      <c r="A60" s="32" t="s">
        <v>126</v>
      </c>
      <c r="B60" s="32" t="s">
        <v>141</v>
      </c>
      <c r="C60" s="33">
        <v>7000</v>
      </c>
      <c r="D60" s="34">
        <f t="shared" si="2"/>
        <v>1540</v>
      </c>
      <c r="E60" s="34">
        <f t="shared" si="3"/>
        <v>8540</v>
      </c>
      <c r="H60" s="56"/>
      <c r="J60" s="38" t="s">
        <v>142</v>
      </c>
    </row>
    <row r="61" spans="1:10" ht="18" customHeight="1" x14ac:dyDescent="0.25">
      <c r="A61" s="32" t="s">
        <v>122</v>
      </c>
      <c r="B61" s="32" t="s">
        <v>141</v>
      </c>
      <c r="C61" s="33">
        <v>12400</v>
      </c>
      <c r="D61" s="34">
        <f t="shared" si="2"/>
        <v>2728</v>
      </c>
      <c r="E61" s="34">
        <f t="shared" si="3"/>
        <v>15128</v>
      </c>
      <c r="H61" s="56"/>
      <c r="J61" s="38" t="s">
        <v>143</v>
      </c>
    </row>
    <row r="62" spans="1:10" ht="15.75" customHeight="1" x14ac:dyDescent="0.25">
      <c r="A62" s="32" t="s">
        <v>144</v>
      </c>
      <c r="B62" s="32" t="s">
        <v>141</v>
      </c>
      <c r="C62" s="33">
        <v>6400</v>
      </c>
      <c r="D62" s="34">
        <f t="shared" si="2"/>
        <v>1408</v>
      </c>
      <c r="E62" s="34">
        <f t="shared" si="3"/>
        <v>7808</v>
      </c>
      <c r="H62" s="56"/>
      <c r="J62" s="38">
        <v>9532203001</v>
      </c>
    </row>
    <row r="63" spans="1:10" ht="18" customHeight="1" x14ac:dyDescent="0.25">
      <c r="A63" s="32" t="s">
        <v>145</v>
      </c>
      <c r="B63" s="32" t="s">
        <v>146</v>
      </c>
      <c r="C63" s="33">
        <v>3720</v>
      </c>
      <c r="D63" s="34">
        <f t="shared" si="2"/>
        <v>818.4</v>
      </c>
      <c r="E63" s="34">
        <f t="shared" si="3"/>
        <v>4538.3999999999996</v>
      </c>
      <c r="H63" s="57"/>
      <c r="J63" s="38"/>
    </row>
    <row r="64" spans="1:10" ht="15.6" x14ac:dyDescent="0.3">
      <c r="A64" s="32" t="s">
        <v>75</v>
      </c>
      <c r="B64" s="32" t="s">
        <v>146</v>
      </c>
      <c r="C64" s="33">
        <v>3600</v>
      </c>
      <c r="D64" s="34">
        <f t="shared" si="2"/>
        <v>792</v>
      </c>
      <c r="E64" s="34">
        <f t="shared" si="3"/>
        <v>4392</v>
      </c>
      <c r="H64"/>
      <c r="J64" s="38" t="s">
        <v>147</v>
      </c>
    </row>
    <row r="65" spans="1:10" ht="17.399999999999999" x14ac:dyDescent="0.25">
      <c r="A65" s="32" t="s">
        <v>113</v>
      </c>
      <c r="B65" s="32" t="s">
        <v>148</v>
      </c>
      <c r="C65" s="33">
        <v>3600</v>
      </c>
      <c r="D65" s="34">
        <f t="shared" si="2"/>
        <v>792</v>
      </c>
      <c r="E65" s="34">
        <f t="shared" si="3"/>
        <v>4392</v>
      </c>
      <c r="H65" s="37"/>
      <c r="J65" s="38" t="s">
        <v>149</v>
      </c>
    </row>
    <row r="66" spans="1:10" ht="15" x14ac:dyDescent="0.25">
      <c r="A66" s="32" t="s">
        <v>150</v>
      </c>
      <c r="B66" s="32" t="s">
        <v>151</v>
      </c>
      <c r="C66" s="33">
        <v>3600</v>
      </c>
      <c r="D66" s="34">
        <f t="shared" ref="D66:D97" si="4">C66*22%</f>
        <v>792</v>
      </c>
      <c r="E66" s="34">
        <f t="shared" ref="E66:E97" si="5">C66+D66</f>
        <v>4392</v>
      </c>
      <c r="J66" s="38">
        <v>9789531206884</v>
      </c>
    </row>
    <row r="67" spans="1:10" ht="15" x14ac:dyDescent="0.25">
      <c r="A67" s="32" t="s">
        <v>152</v>
      </c>
      <c r="B67" s="32" t="s">
        <v>153</v>
      </c>
      <c r="C67" s="33">
        <v>5300</v>
      </c>
      <c r="D67" s="34">
        <f t="shared" si="4"/>
        <v>1166</v>
      </c>
      <c r="E67" s="34">
        <f t="shared" si="5"/>
        <v>6466</v>
      </c>
      <c r="J67" s="38" t="s">
        <v>154</v>
      </c>
    </row>
    <row r="68" spans="1:10" ht="15" x14ac:dyDescent="0.25">
      <c r="A68" s="32" t="s">
        <v>155</v>
      </c>
      <c r="B68" s="32" t="s">
        <v>156</v>
      </c>
      <c r="C68" s="33">
        <v>10200</v>
      </c>
      <c r="D68" s="34">
        <f t="shared" si="4"/>
        <v>2244</v>
      </c>
      <c r="E68" s="34">
        <f t="shared" si="5"/>
        <v>12444</v>
      </c>
      <c r="H68" s="47" t="s">
        <v>157</v>
      </c>
      <c r="J68" s="38" t="s">
        <v>158</v>
      </c>
    </row>
    <row r="69" spans="1:10" ht="15" x14ac:dyDescent="0.25">
      <c r="A69" s="32" t="s">
        <v>159</v>
      </c>
      <c r="B69" s="32" t="s">
        <v>156</v>
      </c>
      <c r="C69" s="33">
        <v>3700</v>
      </c>
      <c r="D69" s="34">
        <f t="shared" si="4"/>
        <v>814</v>
      </c>
      <c r="E69" s="34">
        <f t="shared" si="5"/>
        <v>4514</v>
      </c>
      <c r="H69" s="48"/>
      <c r="J69" s="38">
        <v>9789532400793</v>
      </c>
    </row>
    <row r="70" spans="1:10" ht="15" x14ac:dyDescent="0.25">
      <c r="A70" s="32" t="s">
        <v>160</v>
      </c>
      <c r="B70" s="32" t="s">
        <v>156</v>
      </c>
      <c r="C70" s="33">
        <v>4180</v>
      </c>
      <c r="D70" s="34">
        <f t="shared" si="4"/>
        <v>919.6</v>
      </c>
      <c r="E70" s="34">
        <f t="shared" si="5"/>
        <v>5099.6000000000004</v>
      </c>
      <c r="H70" s="48"/>
      <c r="J70" s="38" t="s">
        <v>161</v>
      </c>
    </row>
    <row r="71" spans="1:10" ht="15" x14ac:dyDescent="0.25">
      <c r="A71" s="32" t="s">
        <v>85</v>
      </c>
      <c r="B71" s="32" t="s">
        <v>156</v>
      </c>
      <c r="C71" s="33">
        <v>3920</v>
      </c>
      <c r="D71" s="34">
        <f t="shared" si="4"/>
        <v>862.4</v>
      </c>
      <c r="E71" s="34">
        <f t="shared" si="5"/>
        <v>4782.3999999999996</v>
      </c>
      <c r="H71" s="49"/>
      <c r="J71" s="38" t="s">
        <v>162</v>
      </c>
    </row>
    <row r="72" spans="1:10" ht="15" x14ac:dyDescent="0.25">
      <c r="A72" s="32" t="s">
        <v>94</v>
      </c>
      <c r="B72" s="32" t="s">
        <v>156</v>
      </c>
      <c r="C72" s="33">
        <v>7120</v>
      </c>
      <c r="D72" s="34">
        <f t="shared" si="4"/>
        <v>1566.4</v>
      </c>
      <c r="E72" s="34">
        <f t="shared" si="5"/>
        <v>8686.4</v>
      </c>
      <c r="J72" s="38" t="s">
        <v>163</v>
      </c>
    </row>
    <row r="73" spans="1:10" ht="17.399999999999999" x14ac:dyDescent="0.25">
      <c r="A73" s="32" t="s">
        <v>114</v>
      </c>
      <c r="B73" s="32" t="s">
        <v>164</v>
      </c>
      <c r="C73" s="33">
        <v>4000</v>
      </c>
      <c r="D73" s="34">
        <f t="shared" si="4"/>
        <v>880</v>
      </c>
      <c r="E73" s="34">
        <f t="shared" si="5"/>
        <v>4880</v>
      </c>
      <c r="H73" s="37"/>
      <c r="J73" s="38" t="s">
        <v>165</v>
      </c>
    </row>
    <row r="74" spans="1:10" ht="15" x14ac:dyDescent="0.25">
      <c r="A74" s="32" t="s">
        <v>84</v>
      </c>
      <c r="B74" s="32" t="s">
        <v>166</v>
      </c>
      <c r="C74" s="33">
        <v>5120</v>
      </c>
      <c r="D74" s="34">
        <f t="shared" si="4"/>
        <v>1126.4000000000001</v>
      </c>
      <c r="E74" s="34">
        <f t="shared" si="5"/>
        <v>6246.4</v>
      </c>
      <c r="J74" s="38"/>
    </row>
    <row r="75" spans="1:10" ht="15" x14ac:dyDescent="0.25">
      <c r="A75" s="32" t="s">
        <v>167</v>
      </c>
      <c r="B75" s="32" t="s">
        <v>168</v>
      </c>
      <c r="C75" s="33">
        <v>7200</v>
      </c>
      <c r="D75" s="34">
        <f t="shared" si="4"/>
        <v>1584</v>
      </c>
      <c r="E75" s="34">
        <f t="shared" si="5"/>
        <v>8784</v>
      </c>
    </row>
    <row r="76" spans="1:10" ht="15" x14ac:dyDescent="0.25">
      <c r="A76" s="32" t="s">
        <v>169</v>
      </c>
      <c r="B76" s="32" t="s">
        <v>170</v>
      </c>
      <c r="C76" s="33">
        <v>3500</v>
      </c>
      <c r="D76" s="34">
        <f t="shared" si="4"/>
        <v>770</v>
      </c>
      <c r="E76" s="34">
        <f t="shared" si="5"/>
        <v>4270</v>
      </c>
    </row>
    <row r="77" spans="1:10" ht="15" x14ac:dyDescent="0.25">
      <c r="A77" s="32" t="s">
        <v>171</v>
      </c>
      <c r="B77" s="32" t="s">
        <v>172</v>
      </c>
      <c r="C77" s="33">
        <v>10200</v>
      </c>
      <c r="D77" s="34">
        <f t="shared" si="4"/>
        <v>2244</v>
      </c>
      <c r="E77" s="34">
        <f t="shared" si="5"/>
        <v>12444</v>
      </c>
    </row>
    <row r="78" spans="1:10" ht="15" x14ac:dyDescent="0.25">
      <c r="A78" s="32" t="s">
        <v>173</v>
      </c>
      <c r="B78" s="32" t="s">
        <v>174</v>
      </c>
      <c r="C78" s="33">
        <v>3000</v>
      </c>
      <c r="D78" s="34">
        <f t="shared" si="4"/>
        <v>660</v>
      </c>
      <c r="E78" s="34">
        <f t="shared" si="5"/>
        <v>3660</v>
      </c>
    </row>
    <row r="79" spans="1:10" ht="15" x14ac:dyDescent="0.25">
      <c r="A79" s="32" t="s">
        <v>175</v>
      </c>
      <c r="B79" s="32" t="s">
        <v>176</v>
      </c>
      <c r="C79" s="33">
        <v>7100</v>
      </c>
      <c r="D79" s="34">
        <f t="shared" si="4"/>
        <v>1562</v>
      </c>
      <c r="E79" s="34">
        <f t="shared" si="5"/>
        <v>8662</v>
      </c>
    </row>
    <row r="80" spans="1:10" ht="15.6" x14ac:dyDescent="0.3">
      <c r="A80" s="32" t="s">
        <v>177</v>
      </c>
      <c r="B80" s="32" t="s">
        <v>176</v>
      </c>
      <c r="C80" s="33">
        <v>7040</v>
      </c>
      <c r="D80" s="34">
        <f t="shared" si="4"/>
        <v>1548.8</v>
      </c>
      <c r="E80" s="34">
        <f t="shared" si="5"/>
        <v>8588.7999999999993</v>
      </c>
      <c r="H80"/>
    </row>
    <row r="81" spans="1:5" ht="15" x14ac:dyDescent="0.25">
      <c r="A81" s="32" t="s">
        <v>56</v>
      </c>
      <c r="B81" s="32" t="s">
        <v>178</v>
      </c>
      <c r="C81" s="33">
        <v>7120</v>
      </c>
      <c r="D81" s="34">
        <f t="shared" si="4"/>
        <v>1566.4</v>
      </c>
      <c r="E81" s="34">
        <f t="shared" si="5"/>
        <v>8686.4</v>
      </c>
    </row>
    <row r="82" spans="1:5" ht="15" x14ac:dyDescent="0.25">
      <c r="A82" s="32" t="s">
        <v>179</v>
      </c>
      <c r="B82" s="32" t="s">
        <v>180</v>
      </c>
      <c r="C82" s="33">
        <v>3600</v>
      </c>
      <c r="D82" s="34">
        <f t="shared" si="4"/>
        <v>792</v>
      </c>
      <c r="E82" s="34">
        <f t="shared" si="5"/>
        <v>4392</v>
      </c>
    </row>
    <row r="83" spans="1:5" ht="15" x14ac:dyDescent="0.25">
      <c r="A83" s="32" t="s">
        <v>181</v>
      </c>
      <c r="B83" s="32" t="s">
        <v>180</v>
      </c>
      <c r="C83" s="33">
        <v>4200</v>
      </c>
      <c r="D83" s="34">
        <f t="shared" si="4"/>
        <v>924</v>
      </c>
      <c r="E83" s="34">
        <f t="shared" si="5"/>
        <v>5124</v>
      </c>
    </row>
    <row r="84" spans="1:5" ht="15" x14ac:dyDescent="0.25">
      <c r="A84" s="32" t="s">
        <v>182</v>
      </c>
      <c r="B84" s="32" t="s">
        <v>183</v>
      </c>
      <c r="C84" s="33">
        <v>8400</v>
      </c>
      <c r="D84" s="34">
        <f t="shared" si="4"/>
        <v>1848</v>
      </c>
      <c r="E84" s="34">
        <f t="shared" si="5"/>
        <v>10248</v>
      </c>
    </row>
    <row r="85" spans="1:5" ht="15" x14ac:dyDescent="0.25">
      <c r="A85" s="32" t="s">
        <v>169</v>
      </c>
      <c r="B85" s="32" t="s">
        <v>184</v>
      </c>
      <c r="C85" s="33">
        <v>4800</v>
      </c>
      <c r="D85" s="34">
        <f t="shared" si="4"/>
        <v>1056</v>
      </c>
      <c r="E85" s="34">
        <f t="shared" si="5"/>
        <v>5856</v>
      </c>
    </row>
    <row r="86" spans="1:5" ht="15" x14ac:dyDescent="0.25">
      <c r="A86" s="32" t="s">
        <v>185</v>
      </c>
      <c r="B86" s="32" t="s">
        <v>186</v>
      </c>
      <c r="C86" s="33">
        <v>3500</v>
      </c>
      <c r="D86" s="34">
        <f t="shared" si="4"/>
        <v>770</v>
      </c>
      <c r="E86" s="34">
        <f t="shared" si="5"/>
        <v>4270</v>
      </c>
    </row>
    <row r="87" spans="1:5" ht="15" x14ac:dyDescent="0.25">
      <c r="A87" s="32" t="s">
        <v>113</v>
      </c>
      <c r="B87" s="32" t="s">
        <v>187</v>
      </c>
      <c r="C87" s="33">
        <v>5120</v>
      </c>
      <c r="D87" s="34">
        <f t="shared" si="4"/>
        <v>1126.4000000000001</v>
      </c>
      <c r="E87" s="34">
        <f t="shared" si="5"/>
        <v>6246.4</v>
      </c>
    </row>
    <row r="88" spans="1:5" ht="15" x14ac:dyDescent="0.25">
      <c r="A88" s="32" t="s">
        <v>188</v>
      </c>
      <c r="B88" s="32" t="s">
        <v>189</v>
      </c>
      <c r="C88" s="33">
        <v>5080</v>
      </c>
      <c r="D88" s="34">
        <f t="shared" si="4"/>
        <v>1117.5999999999999</v>
      </c>
      <c r="E88" s="34">
        <f t="shared" si="5"/>
        <v>6197.6</v>
      </c>
    </row>
    <row r="89" spans="1:5" ht="15" x14ac:dyDescent="0.25">
      <c r="A89" s="32" t="s">
        <v>98</v>
      </c>
      <c r="B89" s="32" t="s">
        <v>190</v>
      </c>
      <c r="C89" s="33">
        <v>6200</v>
      </c>
      <c r="D89" s="34">
        <f t="shared" si="4"/>
        <v>1364</v>
      </c>
      <c r="E89" s="34">
        <f t="shared" si="5"/>
        <v>7564</v>
      </c>
    </row>
    <row r="90" spans="1:5" ht="15" x14ac:dyDescent="0.25">
      <c r="A90" s="32" t="s">
        <v>159</v>
      </c>
      <c r="B90" s="32" t="s">
        <v>191</v>
      </c>
      <c r="C90" s="33">
        <v>5900</v>
      </c>
      <c r="D90" s="34">
        <f t="shared" si="4"/>
        <v>1298</v>
      </c>
      <c r="E90" s="34">
        <f t="shared" si="5"/>
        <v>7198</v>
      </c>
    </row>
    <row r="91" spans="1:5" ht="15" x14ac:dyDescent="0.25">
      <c r="A91" s="32" t="s">
        <v>132</v>
      </c>
      <c r="B91" s="32" t="s">
        <v>192</v>
      </c>
      <c r="C91" s="33">
        <v>6920</v>
      </c>
      <c r="D91" s="34">
        <f t="shared" si="4"/>
        <v>1522.4</v>
      </c>
      <c r="E91" s="34">
        <f t="shared" si="5"/>
        <v>8442.4</v>
      </c>
    </row>
    <row r="92" spans="1:5" ht="15" x14ac:dyDescent="0.25">
      <c r="A92" s="32" t="s">
        <v>193</v>
      </c>
      <c r="B92" s="32" t="s">
        <v>194</v>
      </c>
      <c r="C92" s="33">
        <v>5800</v>
      </c>
      <c r="D92" s="34">
        <f t="shared" si="4"/>
        <v>1276</v>
      </c>
      <c r="E92" s="34">
        <f t="shared" si="5"/>
        <v>7076</v>
      </c>
    </row>
    <row r="93" spans="1:5" ht="15" x14ac:dyDescent="0.25">
      <c r="A93" s="32" t="s">
        <v>195</v>
      </c>
      <c r="B93" s="32" t="s">
        <v>194</v>
      </c>
      <c r="C93" s="33">
        <v>9000</v>
      </c>
      <c r="D93" s="34">
        <f t="shared" si="4"/>
        <v>1980</v>
      </c>
      <c r="E93" s="34">
        <f t="shared" si="5"/>
        <v>10980</v>
      </c>
    </row>
    <row r="94" spans="1:5" ht="15" x14ac:dyDescent="0.25">
      <c r="A94" s="32" t="s">
        <v>40</v>
      </c>
      <c r="B94" s="32" t="s">
        <v>194</v>
      </c>
      <c r="C94" s="33">
        <v>6240</v>
      </c>
      <c r="D94" s="34">
        <f t="shared" si="4"/>
        <v>1372.8</v>
      </c>
      <c r="E94" s="34">
        <f t="shared" si="5"/>
        <v>7612.8</v>
      </c>
    </row>
    <row r="95" spans="1:5" ht="15" x14ac:dyDescent="0.25">
      <c r="A95" s="32" t="s">
        <v>54</v>
      </c>
      <c r="B95" s="32" t="s">
        <v>196</v>
      </c>
      <c r="C95" s="33">
        <v>9600</v>
      </c>
      <c r="D95" s="34">
        <f t="shared" si="4"/>
        <v>2112</v>
      </c>
      <c r="E95" s="34">
        <f t="shared" si="5"/>
        <v>11712</v>
      </c>
    </row>
    <row r="96" spans="1:5" ht="15" x14ac:dyDescent="0.25">
      <c r="A96" s="32" t="s">
        <v>197</v>
      </c>
      <c r="B96" s="32" t="s">
        <v>198</v>
      </c>
      <c r="C96" s="33">
        <v>5000</v>
      </c>
      <c r="D96" s="34">
        <f t="shared" si="4"/>
        <v>1100</v>
      </c>
      <c r="E96" s="34">
        <f t="shared" si="5"/>
        <v>6100</v>
      </c>
    </row>
    <row r="97" spans="1:11" ht="15" x14ac:dyDescent="0.25">
      <c r="A97" s="32" t="s">
        <v>199</v>
      </c>
      <c r="B97" s="32" t="s">
        <v>200</v>
      </c>
      <c r="C97" s="33">
        <v>9200</v>
      </c>
      <c r="D97" s="34">
        <f t="shared" si="4"/>
        <v>2024</v>
      </c>
      <c r="E97" s="34">
        <f t="shared" si="5"/>
        <v>11224</v>
      </c>
    </row>
    <row r="98" spans="1:11" ht="15" x14ac:dyDescent="0.25">
      <c r="A98" s="32" t="s">
        <v>201</v>
      </c>
      <c r="B98" s="32" t="s">
        <v>202</v>
      </c>
      <c r="C98" s="33">
        <v>5200</v>
      </c>
      <c r="D98" s="34">
        <f t="shared" ref="D98:D101" si="6">C98*22%</f>
        <v>1144</v>
      </c>
      <c r="E98" s="34">
        <f t="shared" ref="E98:E101" si="7">C98+D98</f>
        <v>6344</v>
      </c>
    </row>
    <row r="99" spans="1:11" ht="15" x14ac:dyDescent="0.25">
      <c r="A99" s="32" t="s">
        <v>181</v>
      </c>
      <c r="B99" s="32" t="s">
        <v>203</v>
      </c>
      <c r="C99" s="33">
        <v>8520</v>
      </c>
      <c r="D99" s="34">
        <f t="shared" si="6"/>
        <v>1874.4</v>
      </c>
      <c r="E99" s="34">
        <f t="shared" si="7"/>
        <v>10394.4</v>
      </c>
      <c r="I99" s="35"/>
      <c r="K99" s="35"/>
    </row>
    <row r="100" spans="1:11" ht="15" x14ac:dyDescent="0.25">
      <c r="A100" s="32" t="s">
        <v>102</v>
      </c>
      <c r="B100" s="32" t="s">
        <v>204</v>
      </c>
      <c r="C100" s="33">
        <v>9000</v>
      </c>
      <c r="D100" s="34">
        <f t="shared" si="6"/>
        <v>1980</v>
      </c>
      <c r="E100" s="34">
        <f t="shared" si="7"/>
        <v>10980</v>
      </c>
      <c r="I100" s="35"/>
      <c r="J100" s="35"/>
      <c r="K100" s="35"/>
    </row>
    <row r="101" spans="1:11" ht="15" x14ac:dyDescent="0.25">
      <c r="A101" s="32" t="s">
        <v>171</v>
      </c>
      <c r="B101" s="32" t="s">
        <v>205</v>
      </c>
      <c r="C101" s="33">
        <v>4480</v>
      </c>
      <c r="D101" s="34">
        <f t="shared" si="6"/>
        <v>985.6</v>
      </c>
      <c r="E101" s="34">
        <f t="shared" si="7"/>
        <v>5465.6</v>
      </c>
      <c r="I101" s="35"/>
      <c r="J101" s="35"/>
      <c r="K101" s="35"/>
    </row>
    <row r="102" spans="1:11" ht="15" x14ac:dyDescent="0.25">
      <c r="B102" s="35"/>
      <c r="C102" s="36"/>
      <c r="D102" s="36"/>
      <c r="E102" s="36"/>
      <c r="J102" s="35"/>
    </row>
    <row r="103" spans="1:11" ht="15" x14ac:dyDescent="0.25">
      <c r="B103" s="35"/>
      <c r="C103" s="36"/>
      <c r="D103" s="36"/>
      <c r="E103" s="36"/>
    </row>
    <row r="104" spans="1:11" ht="15" x14ac:dyDescent="0.25">
      <c r="B104" s="35"/>
      <c r="C104" s="36"/>
      <c r="D104" s="36"/>
      <c r="E104" s="36"/>
    </row>
    <row r="105" spans="1:11" ht="15" x14ac:dyDescent="0.25">
      <c r="B105" s="35"/>
      <c r="C105" s="36"/>
      <c r="D105" s="36"/>
      <c r="E105" s="36"/>
    </row>
  </sheetData>
  <sortState xmlns:xlrd2="http://schemas.microsoft.com/office/spreadsheetml/2017/richdata2" ref="A2:E106">
    <sortCondition ref="B2:B101"/>
  </sortState>
  <mergeCells count="11">
    <mergeCell ref="H68:H71"/>
    <mergeCell ref="H58:H63"/>
    <mergeCell ref="H10:H13"/>
    <mergeCell ref="H5:H8"/>
    <mergeCell ref="H16:H19"/>
    <mergeCell ref="H22:H25"/>
    <mergeCell ref="H28:H31"/>
    <mergeCell ref="H34:H37"/>
    <mergeCell ref="H40:H43"/>
    <mergeCell ref="H52:H55"/>
    <mergeCell ref="H46:H49"/>
  </mergeCells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H15"/>
  <sheetViews>
    <sheetView tabSelected="1" zoomScaleNormal="100" workbookViewId="0">
      <selection activeCell="A8" sqref="A8"/>
    </sheetView>
  </sheetViews>
  <sheetFormatPr defaultRowHeight="14.4" x14ac:dyDescent="0.3"/>
  <cols>
    <col min="1" max="6" width="35.6640625" customWidth="1"/>
  </cols>
  <sheetData>
    <row r="1" spans="1:8" ht="28.8" x14ac:dyDescent="0.55000000000000004">
      <c r="A1" s="3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</row>
    <row r="2" spans="1:8" ht="23.4" x14ac:dyDescent="0.45">
      <c r="A2" s="7"/>
      <c r="B2" s="7"/>
      <c r="C2" s="7"/>
      <c r="D2" s="7"/>
      <c r="E2" s="7"/>
      <c r="F2" s="7"/>
    </row>
    <row r="3" spans="1:8" x14ac:dyDescent="0.3">
      <c r="H3" s="14"/>
    </row>
    <row r="4" spans="1:8" x14ac:dyDescent="0.3">
      <c r="H4" s="14"/>
    </row>
    <row r="5" spans="1:8" x14ac:dyDescent="0.3">
      <c r="H5" s="14"/>
    </row>
    <row r="6" spans="1:8" x14ac:dyDescent="0.3">
      <c r="H6" s="14"/>
    </row>
    <row r="7" spans="1:8" ht="28.8" x14ac:dyDescent="0.55000000000000004">
      <c r="A7" s="3" t="s">
        <v>212</v>
      </c>
      <c r="B7" s="3" t="s">
        <v>213</v>
      </c>
      <c r="F7" s="14"/>
    </row>
    <row r="8" spans="1:8" ht="23.4" x14ac:dyDescent="0.45">
      <c r="A8" s="7"/>
      <c r="B8" s="7"/>
      <c r="F8" s="14"/>
    </row>
    <row r="9" spans="1:8" x14ac:dyDescent="0.3">
      <c r="H9" s="14"/>
    </row>
    <row r="10" spans="1:8" x14ac:dyDescent="0.3">
      <c r="H10" s="14"/>
    </row>
    <row r="15" spans="1:8" ht="28.8" x14ac:dyDescent="0.55000000000000004">
      <c r="A15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B19"/>
  <sheetViews>
    <sheetView zoomScaleNormal="100" workbookViewId="0">
      <selection activeCell="B19" sqref="B19"/>
    </sheetView>
  </sheetViews>
  <sheetFormatPr defaultRowHeight="14.4" x14ac:dyDescent="0.3"/>
  <cols>
    <col min="1" max="1" width="27.44140625" bestFit="1" customWidth="1"/>
    <col min="2" max="2" width="64.33203125" bestFit="1" customWidth="1"/>
  </cols>
  <sheetData>
    <row r="1" spans="1:2" ht="28.8" x14ac:dyDescent="0.55000000000000004">
      <c r="B1" s="3" t="s">
        <v>214</v>
      </c>
    </row>
    <row r="2" spans="1:2" ht="28.8" x14ac:dyDescent="0.55000000000000004">
      <c r="A2" s="1" t="s">
        <v>215</v>
      </c>
      <c r="B2" s="7"/>
    </row>
    <row r="3" spans="1:2" ht="28.8" x14ac:dyDescent="0.55000000000000004">
      <c r="A3" s="1" t="s">
        <v>216</v>
      </c>
      <c r="B3" s="7"/>
    </row>
    <row r="4" spans="1:2" ht="28.8" x14ac:dyDescent="0.55000000000000004">
      <c r="A4" s="1" t="s">
        <v>217</v>
      </c>
      <c r="B4" s="7"/>
    </row>
    <row r="5" spans="1:2" ht="28.8" x14ac:dyDescent="0.55000000000000004">
      <c r="A5" s="1" t="s">
        <v>218</v>
      </c>
      <c r="B5" s="7"/>
    </row>
    <row r="6" spans="1:2" ht="28.8" x14ac:dyDescent="0.55000000000000004">
      <c r="A6" s="1" t="s">
        <v>219</v>
      </c>
      <c r="B6" s="7"/>
    </row>
    <row r="7" spans="1:2" ht="28.8" x14ac:dyDescent="0.55000000000000004">
      <c r="A7" s="1" t="s">
        <v>220</v>
      </c>
      <c r="B7" s="7"/>
    </row>
    <row r="8" spans="1:2" ht="28.8" x14ac:dyDescent="0.55000000000000004">
      <c r="A8" s="1" t="s">
        <v>221</v>
      </c>
      <c r="B8" s="7"/>
    </row>
    <row r="13" spans="1:2" ht="28.8" x14ac:dyDescent="0.55000000000000004">
      <c r="B13" s="3" t="s">
        <v>222</v>
      </c>
    </row>
    <row r="14" spans="1:2" ht="28.8" x14ac:dyDescent="0.55000000000000004">
      <c r="A14" s="1" t="s">
        <v>223</v>
      </c>
      <c r="B14" s="7"/>
    </row>
    <row r="15" spans="1:2" ht="28.8" x14ac:dyDescent="0.55000000000000004">
      <c r="A15" s="1" t="s">
        <v>224</v>
      </c>
      <c r="B15" s="7"/>
    </row>
    <row r="19" spans="1:2" ht="28.8" x14ac:dyDescent="0.55000000000000004">
      <c r="A19" s="1" t="s">
        <v>225</v>
      </c>
      <c r="B19" s="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H25"/>
  <sheetViews>
    <sheetView zoomScaleNormal="100" workbookViewId="0">
      <selection activeCell="P25" sqref="P25"/>
    </sheetView>
  </sheetViews>
  <sheetFormatPr defaultRowHeight="23.4" x14ac:dyDescent="0.3"/>
  <cols>
    <col min="2" max="2" width="9.109375" style="27"/>
    <col min="4" max="4" width="9.109375" style="27"/>
    <col min="6" max="6" width="9.109375" style="27"/>
    <col min="8" max="8" width="9.109375" style="27"/>
  </cols>
  <sheetData>
    <row r="1" spans="1:8" ht="20.100000000000001" customHeight="1" x14ac:dyDescent="0.3">
      <c r="A1" s="25">
        <v>32</v>
      </c>
      <c r="B1" s="28"/>
      <c r="C1" s="26">
        <v>57</v>
      </c>
      <c r="D1" s="28"/>
      <c r="E1" s="26">
        <v>82</v>
      </c>
      <c r="F1" s="28"/>
      <c r="G1" s="26">
        <v>107</v>
      </c>
      <c r="H1" s="28"/>
    </row>
    <row r="2" spans="1:8" ht="20.100000000000001" customHeight="1" x14ac:dyDescent="0.3">
      <c r="A2" s="25">
        <v>33</v>
      </c>
      <c r="B2" s="28"/>
      <c r="C2" s="26">
        <v>58</v>
      </c>
      <c r="D2" s="28"/>
      <c r="E2" s="26">
        <v>83</v>
      </c>
      <c r="F2" s="28"/>
      <c r="G2" s="26">
        <v>108</v>
      </c>
      <c r="H2" s="28"/>
    </row>
    <row r="3" spans="1:8" ht="20.100000000000001" customHeight="1" x14ac:dyDescent="0.3">
      <c r="A3" s="25">
        <v>34</v>
      </c>
      <c r="B3" s="28"/>
      <c r="C3" s="26">
        <v>59</v>
      </c>
      <c r="D3" s="28"/>
      <c r="E3" s="26">
        <v>84</v>
      </c>
      <c r="F3" s="28"/>
      <c r="G3" s="26">
        <v>109</v>
      </c>
      <c r="H3" s="28"/>
    </row>
    <row r="4" spans="1:8" ht="20.100000000000001" customHeight="1" x14ac:dyDescent="0.3">
      <c r="A4" s="25">
        <v>35</v>
      </c>
      <c r="B4" s="28"/>
      <c r="C4" s="26">
        <v>60</v>
      </c>
      <c r="D4" s="28"/>
      <c r="E4" s="26">
        <v>85</v>
      </c>
      <c r="F4" s="28"/>
      <c r="G4" s="26">
        <v>110</v>
      </c>
      <c r="H4" s="28"/>
    </row>
    <row r="5" spans="1:8" ht="20.100000000000001" customHeight="1" x14ac:dyDescent="0.3">
      <c r="A5" s="25">
        <v>36</v>
      </c>
      <c r="B5" s="28"/>
      <c r="C5" s="26">
        <v>61</v>
      </c>
      <c r="D5" s="28"/>
      <c r="E5" s="26">
        <v>86</v>
      </c>
      <c r="F5" s="28"/>
      <c r="G5" s="26">
        <v>111</v>
      </c>
      <c r="H5" s="28"/>
    </row>
    <row r="6" spans="1:8" ht="20.100000000000001" customHeight="1" x14ac:dyDescent="0.3">
      <c r="A6" s="25">
        <v>37</v>
      </c>
      <c r="B6" s="28"/>
      <c r="C6" s="26">
        <v>62</v>
      </c>
      <c r="D6" s="28"/>
      <c r="E6" s="26">
        <v>87</v>
      </c>
      <c r="F6" s="28"/>
      <c r="G6" s="26">
        <v>112</v>
      </c>
      <c r="H6" s="28"/>
    </row>
    <row r="7" spans="1:8" ht="20.100000000000001" customHeight="1" x14ac:dyDescent="0.3">
      <c r="A7" s="25">
        <v>38</v>
      </c>
      <c r="B7" s="28"/>
      <c r="C7" s="26">
        <v>63</v>
      </c>
      <c r="D7" s="28"/>
      <c r="E7" s="26">
        <v>88</v>
      </c>
      <c r="F7" s="28"/>
      <c r="G7" s="26">
        <v>113</v>
      </c>
      <c r="H7" s="28"/>
    </row>
    <row r="8" spans="1:8" ht="20.100000000000001" customHeight="1" x14ac:dyDescent="0.3">
      <c r="A8" s="25">
        <v>39</v>
      </c>
      <c r="B8" s="28"/>
      <c r="C8" s="26">
        <v>64</v>
      </c>
      <c r="D8" s="28"/>
      <c r="E8" s="26">
        <v>89</v>
      </c>
      <c r="F8" s="28"/>
      <c r="G8" s="26">
        <v>114</v>
      </c>
      <c r="H8" s="28"/>
    </row>
    <row r="9" spans="1:8" ht="20.100000000000001" customHeight="1" x14ac:dyDescent="0.3">
      <c r="A9" s="25">
        <v>40</v>
      </c>
      <c r="B9" s="28"/>
      <c r="C9" s="26">
        <v>65</v>
      </c>
      <c r="D9" s="28"/>
      <c r="E9" s="26">
        <v>90</v>
      </c>
      <c r="F9" s="28"/>
      <c r="G9" s="26">
        <v>115</v>
      </c>
      <c r="H9" s="28"/>
    </row>
    <row r="10" spans="1:8" ht="20.100000000000001" customHeight="1" x14ac:dyDescent="0.3">
      <c r="A10" s="25">
        <v>41</v>
      </c>
      <c r="B10" s="28"/>
      <c r="C10" s="26">
        <v>66</v>
      </c>
      <c r="D10" s="28"/>
      <c r="E10" s="26">
        <v>91</v>
      </c>
      <c r="F10" s="28"/>
      <c r="G10" s="26">
        <v>116</v>
      </c>
      <c r="H10" s="28"/>
    </row>
    <row r="11" spans="1:8" ht="20.100000000000001" customHeight="1" x14ac:dyDescent="0.3">
      <c r="A11" s="25">
        <v>42</v>
      </c>
      <c r="B11" s="28"/>
      <c r="C11" s="26">
        <v>67</v>
      </c>
      <c r="D11" s="28"/>
      <c r="E11" s="26">
        <v>92</v>
      </c>
      <c r="F11" s="28"/>
      <c r="G11" s="26">
        <v>117</v>
      </c>
      <c r="H11" s="28"/>
    </row>
    <row r="12" spans="1:8" ht="20.100000000000001" customHeight="1" x14ac:dyDescent="0.3">
      <c r="A12" s="25">
        <v>43</v>
      </c>
      <c r="B12" s="28"/>
      <c r="C12" s="26">
        <v>68</v>
      </c>
      <c r="D12" s="28"/>
      <c r="E12" s="26">
        <v>93</v>
      </c>
      <c r="F12" s="28"/>
      <c r="G12" s="26">
        <v>118</v>
      </c>
      <c r="H12" s="28"/>
    </row>
    <row r="13" spans="1:8" ht="20.100000000000001" customHeight="1" x14ac:dyDescent="0.3">
      <c r="A13" s="25">
        <v>44</v>
      </c>
      <c r="B13" s="28"/>
      <c r="C13" s="26">
        <v>69</v>
      </c>
      <c r="D13" s="28"/>
      <c r="E13" s="26">
        <v>94</v>
      </c>
      <c r="F13" s="28"/>
      <c r="G13" s="26">
        <v>119</v>
      </c>
      <c r="H13" s="28"/>
    </row>
    <row r="14" spans="1:8" ht="20.100000000000001" customHeight="1" x14ac:dyDescent="0.3">
      <c r="A14" s="25">
        <v>45</v>
      </c>
      <c r="B14" s="28"/>
      <c r="C14" s="26">
        <v>70</v>
      </c>
      <c r="D14" s="28"/>
      <c r="E14" s="26">
        <v>95</v>
      </c>
      <c r="F14" s="28"/>
      <c r="G14" s="26">
        <v>120</v>
      </c>
      <c r="H14" s="28"/>
    </row>
    <row r="15" spans="1:8" ht="20.100000000000001" customHeight="1" x14ac:dyDescent="0.3">
      <c r="A15" s="25">
        <v>46</v>
      </c>
      <c r="B15" s="28"/>
      <c r="C15" s="26">
        <v>71</v>
      </c>
      <c r="D15" s="28"/>
      <c r="E15" s="26">
        <v>96</v>
      </c>
      <c r="F15" s="28"/>
      <c r="G15" s="26">
        <v>121</v>
      </c>
      <c r="H15" s="28"/>
    </row>
    <row r="16" spans="1:8" ht="20.100000000000001" customHeight="1" x14ac:dyDescent="0.3">
      <c r="A16" s="25">
        <v>47</v>
      </c>
      <c r="B16" s="28"/>
      <c r="C16" s="26">
        <v>72</v>
      </c>
      <c r="D16" s="28"/>
      <c r="E16" s="26">
        <v>97</v>
      </c>
      <c r="F16" s="28"/>
      <c r="G16" s="26">
        <v>122</v>
      </c>
      <c r="H16" s="28"/>
    </row>
    <row r="17" spans="1:8" ht="20.100000000000001" customHeight="1" x14ac:dyDescent="0.3">
      <c r="A17" s="25">
        <v>48</v>
      </c>
      <c r="B17" s="28"/>
      <c r="C17" s="26">
        <v>73</v>
      </c>
      <c r="D17" s="28"/>
      <c r="E17" s="26">
        <v>98</v>
      </c>
      <c r="F17" s="28"/>
      <c r="G17" s="26">
        <v>123</v>
      </c>
      <c r="H17" s="28"/>
    </row>
    <row r="18" spans="1:8" ht="20.100000000000001" customHeight="1" x14ac:dyDescent="0.3">
      <c r="A18" s="25">
        <v>49</v>
      </c>
      <c r="B18" s="28"/>
      <c r="C18" s="26">
        <v>74</v>
      </c>
      <c r="D18" s="28"/>
      <c r="E18" s="26">
        <v>99</v>
      </c>
      <c r="F18" s="28"/>
      <c r="G18" s="26">
        <v>124</v>
      </c>
      <c r="H18" s="28"/>
    </row>
    <row r="19" spans="1:8" ht="20.100000000000001" customHeight="1" x14ac:dyDescent="0.3">
      <c r="A19" s="25">
        <v>50</v>
      </c>
      <c r="B19" s="28"/>
      <c r="C19" s="26">
        <v>75</v>
      </c>
      <c r="D19" s="28"/>
      <c r="E19" s="26">
        <v>100</v>
      </c>
      <c r="F19" s="28"/>
      <c r="G19" s="26">
        <v>125</v>
      </c>
      <c r="H19" s="28"/>
    </row>
    <row r="20" spans="1:8" ht="20.100000000000001" customHeight="1" x14ac:dyDescent="0.3">
      <c r="A20" s="25">
        <v>51</v>
      </c>
      <c r="B20" s="28"/>
      <c r="C20" s="26">
        <v>76</v>
      </c>
      <c r="D20" s="28"/>
      <c r="E20" s="26">
        <v>101</v>
      </c>
      <c r="F20" s="28"/>
      <c r="G20" s="26">
        <v>126</v>
      </c>
      <c r="H20" s="28"/>
    </row>
    <row r="21" spans="1:8" ht="20.100000000000001" customHeight="1" x14ac:dyDescent="0.3">
      <c r="A21" s="25">
        <v>52</v>
      </c>
      <c r="B21" s="28"/>
      <c r="C21" s="26">
        <v>77</v>
      </c>
      <c r="D21" s="28"/>
      <c r="E21" s="26">
        <v>102</v>
      </c>
      <c r="F21" s="28"/>
      <c r="G21" s="26">
        <v>127</v>
      </c>
      <c r="H21" s="28"/>
    </row>
    <row r="22" spans="1:8" ht="20.100000000000001" customHeight="1" x14ac:dyDescent="0.3">
      <c r="A22" s="25">
        <v>53</v>
      </c>
      <c r="B22" s="28"/>
      <c r="C22" s="26">
        <v>78</v>
      </c>
      <c r="D22" s="28"/>
      <c r="E22" s="26">
        <v>103</v>
      </c>
      <c r="F22" s="28"/>
      <c r="G22" s="26">
        <v>128</v>
      </c>
      <c r="H22" s="28"/>
    </row>
    <row r="23" spans="1:8" ht="20.100000000000001" customHeight="1" x14ac:dyDescent="0.3">
      <c r="A23" s="25">
        <v>54</v>
      </c>
      <c r="B23" s="28"/>
      <c r="C23" s="26">
        <v>79</v>
      </c>
      <c r="D23" s="28"/>
      <c r="E23" s="26">
        <v>104</v>
      </c>
      <c r="F23" s="28"/>
      <c r="G23" s="26">
        <v>129</v>
      </c>
      <c r="H23" s="28"/>
    </row>
    <row r="24" spans="1:8" ht="20.100000000000001" customHeight="1" x14ac:dyDescent="0.3">
      <c r="A24" s="25">
        <v>55</v>
      </c>
      <c r="B24" s="28"/>
      <c r="C24" s="26">
        <v>80</v>
      </c>
      <c r="D24" s="28"/>
      <c r="E24" s="26">
        <v>105</v>
      </c>
      <c r="F24" s="28"/>
      <c r="G24" s="26">
        <v>130</v>
      </c>
      <c r="H24" s="28"/>
    </row>
    <row r="25" spans="1:8" ht="20.100000000000001" customHeight="1" x14ac:dyDescent="0.3">
      <c r="A25" s="25">
        <v>56</v>
      </c>
      <c r="B25" s="28"/>
      <c r="C25" s="26">
        <v>81</v>
      </c>
      <c r="D25" s="28"/>
      <c r="E25" s="26">
        <v>106</v>
      </c>
      <c r="F25" s="28"/>
      <c r="G25" s="26">
        <v>131</v>
      </c>
      <c r="H25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D7"/>
  <sheetViews>
    <sheetView zoomScaleNormal="100" workbookViewId="0">
      <selection activeCell="B2" sqref="B2"/>
    </sheetView>
  </sheetViews>
  <sheetFormatPr defaultRowHeight="14.4" x14ac:dyDescent="0.3"/>
  <cols>
    <col min="1" max="1" width="23.109375" customWidth="1"/>
    <col min="2" max="2" width="26.5546875" customWidth="1"/>
    <col min="3" max="3" width="26.33203125" customWidth="1"/>
    <col min="4" max="4" width="31.33203125" customWidth="1"/>
  </cols>
  <sheetData>
    <row r="1" spans="1:4" ht="28.8" x14ac:dyDescent="0.55000000000000004">
      <c r="B1" s="3" t="s">
        <v>226</v>
      </c>
      <c r="C1" s="3" t="s">
        <v>227</v>
      </c>
      <c r="D1" s="3" t="s">
        <v>228</v>
      </c>
    </row>
    <row r="2" spans="1:4" ht="28.8" x14ac:dyDescent="0.55000000000000004">
      <c r="A2" s="1">
        <v>123</v>
      </c>
      <c r="B2" s="7"/>
      <c r="C2" s="7"/>
      <c r="D2" s="29"/>
    </row>
    <row r="3" spans="1:4" ht="28.8" x14ac:dyDescent="0.55000000000000004">
      <c r="A3" s="1">
        <v>45678</v>
      </c>
      <c r="B3" s="7"/>
      <c r="C3" s="7"/>
      <c r="D3" s="29"/>
    </row>
    <row r="4" spans="1:4" ht="28.8" x14ac:dyDescent="0.55000000000000004">
      <c r="A4" s="1">
        <v>165.99</v>
      </c>
      <c r="B4" s="7"/>
      <c r="C4" s="7"/>
      <c r="D4" s="29"/>
    </row>
    <row r="5" spans="1:4" ht="28.8" x14ac:dyDescent="0.55000000000000004">
      <c r="A5" s="1">
        <v>200</v>
      </c>
      <c r="B5" s="7"/>
      <c r="C5" s="7"/>
      <c r="D5" s="29"/>
    </row>
    <row r="6" spans="1:4" ht="28.8" x14ac:dyDescent="0.55000000000000004">
      <c r="A6" s="1">
        <v>-2</v>
      </c>
      <c r="B6" s="7"/>
      <c r="C6" s="7"/>
      <c r="D6" s="29"/>
    </row>
    <row r="7" spans="1:4" ht="28.8" x14ac:dyDescent="0.55000000000000004">
      <c r="A7" s="1">
        <v>0.78639999999999999</v>
      </c>
      <c r="B7" s="7"/>
      <c r="C7" s="7"/>
      <c r="D7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E24FF507FE9BF45A1B9949CC1D8A8F1" ma:contentTypeVersion="12" ma:contentTypeDescription="Stvaranje novog dokumenta." ma:contentTypeScope="" ma:versionID="8148fa83b76b7bc9575119146a137382">
  <xsd:schema xmlns:xsd="http://www.w3.org/2001/XMLSchema" xmlns:xs="http://www.w3.org/2001/XMLSchema" xmlns:p="http://schemas.microsoft.com/office/2006/metadata/properties" xmlns:ns2="ebd987d9-ab58-451f-aafb-34eb8af7e144" xmlns:ns3="59daf87c-096b-4f04-8475-ec21082ac99f" targetNamespace="http://schemas.microsoft.com/office/2006/metadata/properties" ma:root="true" ma:fieldsID="67dd26d146e9ab7ca751eb3c95e86459" ns2:_="" ns3:_="">
    <xsd:import namespace="ebd987d9-ab58-451f-aafb-34eb8af7e144"/>
    <xsd:import namespace="59daf87c-096b-4f04-8475-ec21082ac9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987d9-ab58-451f-aafb-34eb8af7e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a0d909bf-645b-46a2-8bb9-ccdb743347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af87c-096b-4f04-8475-ec21082ac9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d987d9-ab58-451f-aafb-34eb8af7e14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36DCC-F66D-4A39-BAA8-83C2A8F21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d987d9-ab58-451f-aafb-34eb8af7e144"/>
    <ds:schemaRef ds:uri="59daf87c-096b-4f04-8475-ec21082ac9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CBE00C-AD7E-456F-98F9-0538330A252E}">
  <ds:schemaRefs>
    <ds:schemaRef ds:uri="http://schemas.microsoft.com/office/2006/metadata/properties"/>
    <ds:schemaRef ds:uri="http://schemas.microsoft.com/office/infopath/2007/PartnerControls"/>
    <ds:schemaRef ds:uri="ebd987d9-ab58-451f-aafb-34eb8af7e144"/>
  </ds:schemaRefs>
</ds:datastoreItem>
</file>

<file path=customXml/itemProps3.xml><?xml version="1.0" encoding="utf-8"?>
<ds:datastoreItem xmlns:ds="http://schemas.openxmlformats.org/officeDocument/2006/customXml" ds:itemID="{1383D0F6-4FC1-4EFF-9E60-4E1D4E3FBD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matematicke</vt:lpstr>
      <vt:lpstr>trigonometrijske</vt:lpstr>
      <vt:lpstr>vježba1</vt:lpstr>
      <vt:lpstr>vježba2</vt:lpstr>
      <vt:lpstr>statisticke</vt:lpstr>
      <vt:lpstr>zbroj</vt:lpstr>
      <vt:lpstr>vježba3</vt:lpstr>
      <vt:lpstr>datum i vrijeme</vt:lpstr>
      <vt:lpstr>tekst</vt:lpstr>
      <vt:lpstr>ASCII</vt:lpstr>
      <vt:lpstr>logicke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Sanda</dc:creator>
  <cp:keywords/>
  <dc:description/>
  <cp:lastModifiedBy>Miro Zdilar</cp:lastModifiedBy>
  <cp:revision/>
  <dcterms:created xsi:type="dcterms:W3CDTF">2014-10-04T20:31:23Z</dcterms:created>
  <dcterms:modified xsi:type="dcterms:W3CDTF">2026-01-20T08:23:58Z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0x0101009E24FF507FE9BF45A1B9949CC1D8A8F1</vt:lpwstr>
  </property>
  <property fmtid="{D5CDD505-2E9C-101B-9397-08002B2CF9AE}" pid="3" name="Order">
    <vt:r8>336100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